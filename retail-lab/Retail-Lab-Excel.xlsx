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95334c3a9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0a271b3db5744fd"/>
    <x:sheet xmlns:r="http://schemas.openxmlformats.org/officeDocument/2006/relationships" name="Promocion" sheetId="2" r:id="Rdc17abcdf65c4c9a"/>
    <x:sheet xmlns:r="http://schemas.openxmlformats.org/officeDocument/2006/relationships" name="Pedidos" sheetId="3" r:id="R70a10abecbd1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&quot; €&quot;"/>
    <x:numFmt numFmtId="201" formatCode="#,##0"/>
    <x:numFmt numFmtId="202" formatCode="0.0%"/>
  </x:numFmts>
  <x:fonts count="8">
    <x:font>
      <x:sz val="11"/>
      <x:name val="Carlito"/>
    </x:font>
    <x:font>
      <x:sz val="11"/>
      <x:color rgb="FF172B45"/>
      <x:name val="Arial"/>
    </x:font>
    <x:font>
      <x:b/>
      <x:sz val="16"/>
      <x:color rgb="FF172B45"/>
      <x:name val="Arial"/>
    </x:font>
    <x:font>
      <x:b/>
      <x:sz val="11"/>
      <x:color rgb="FFFFFFFF"/>
      <x:name val="Arial"/>
    </x:font>
    <x:font>
      <x:b/>
      <x:sz val="11"/>
      <x:color rgb="FF172B45"/>
      <x:name val="Arial"/>
    </x:font>
    <x:font>
      <x:b/>
      <x:sz val="10"/>
      <x:color rgb="FFFFFFFF"/>
      <x:name val="Arial"/>
    </x:font>
    <x:font>
      <x:sz val="10"/>
      <x:color rgb="FF172B45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B45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2" fontId="6" fillId="0" borderId="0" xfId="0" applyNumberFormat="1" applyFont="1" applyFill="1" applyBorder="1"/>
    <x:xf numFmtId="202" fontId="7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ae7fcf53f4773" /><Relationship Type="http://schemas.openxmlformats.org/officeDocument/2006/relationships/theme" Target="/xl/theme/theme1.xml" Id="R93b0f6bdec2a4ad0" /><Relationship Type="http://schemas.openxmlformats.org/officeDocument/2006/relationships/sharedStrings" Target="/xl/sharedStrings.xml" Id="R775becf620214619" /><Relationship Type="http://schemas.openxmlformats.org/officeDocument/2006/relationships/worksheet" Target="/xl/worksheets/sheet1.xml" Id="Re0a271b3db5744fd" /><Relationship Type="http://schemas.openxmlformats.org/officeDocument/2006/relationships/worksheet" Target="/xl/worksheets/sheet2.xml" Id="Rdc17abcdf65c4c9a" /><Relationship Type="http://schemas.openxmlformats.org/officeDocument/2006/relationships/worksheet" Target="/xl/worksheets/sheet3.xml" Id="R70a10abecbd14069" /></Relationships>
</file>

<file path=xl/tables/table1.xml><?xml version="1.0" encoding="utf-8"?>
<x:table xmlns:x="http://schemas.openxmlformats.org/spreadsheetml/2006/main" id="1" name="PedidosSimulados" displayName="PedidosSimulados" ref="A4:P1504" headerRowCount="1" totalsRowCount="0" totalsRowShown="0">
  <x:tableColumns count="16">
    <x:tableColumn id="1" name="Pedido"/>
    <x:tableColumn id="2" name="Mes"/>
    <x:tableColumn id="3" name="Categoría"/>
    <x:tableColumn id="4" name="Canal"/>
    <x:tableColumn id="5" name="Unidades"/>
    <x:tableColumn id="6" name="Devueltas"/>
    <x:tableColumn id="7" name="Precio €"/>
    <x:tableColumn id="8" name="Coste €"/>
    <x:tableColumn id="9" name="Descuento"/>
    <x:tableColumn id="10" name="Manip. €/ud."/>
    <x:tableColumn id="11" name="Bruto €"/>
    <x:tableColumn id="12" name="Desc. bruto €"/>
    <x:tableColumn id="13" name="Neto €"/>
    <x:tableColumn id="14" name="Coste retenido €"/>
    <x:tableColumn id="15" name="Devolución €"/>
    <x:tableColumn id="16" name="Contribución 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76a2420f9354fbe" /></Relationships>
</file>

<file path=xl/worksheets/sheet1.xml><?xml version="1.0" encoding="utf-8"?>
<x:worksheet xmlns:x="http://schemas.openxmlformats.org/spreadsheetml/2006/main">
  <x:sheetPr>
    <x:tabColor rgb="FF172B45"/>
  </x:sheetPr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Retail Lab: análisis comercial en Excel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Enero–junio 2026. Datos simulados de una tienda de moda.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5" t="str">
        <x:v>Indicador</x:v>
      </x:c>
      <x:c r="B5" s="5" t="str">
        <x:v>Resultado</x:v>
      </x:c>
      <x:c r="C5" s="1"/>
      <x:c r="D5" s="5" t="str">
        <x:v>Mes</x:v>
      </x:c>
      <x:c r="E5" s="5" t="str">
        <x:v>Ventas netas (€)</x:v>
      </x:c>
      <x:c r="F5" s="5" t="str">
        <x:v>Contribución (€)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 t="str">
        <x:v>Ventas netas</x:v>
      </x:c>
      <x:c r="B6" s="6" t="n">
        <x:f>SUM('Pedidos'!M5:M1504)</x:f>
        <x:v>103941</x:v>
      </x:c>
      <x:c r="C6" s="1"/>
      <x:c r="D6" s="1" t="str">
        <x:v>2026-01</x:v>
      </x:c>
      <x:c r="E6" s="6" t="n">
        <x:f>SUMIFS('Pedidos'!$M$5:$M$1504,'Pedidos'!$B$5:$B$1504,$D6)</x:f>
        <x:v>13986</x:v>
      </x:c>
      <x:c r="F6" s="6" t="n">
        <x:f>SUMIFS('Pedidos'!$P$5:$P$1504,'Pedidos'!$B$5:$B$1504,$D6)</x:f>
        <x:v>7241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Contribución parcial</x:v>
      </x:c>
      <x:c r="B7" s="6" t="n">
        <x:f>SUM('Pedidos'!P5:P1504)</x:f>
        <x:v>53083</x:v>
      </x:c>
      <x:c r="C7" s="1"/>
      <x:c r="D7" s="1" t="str">
        <x:v>2026-02</x:v>
      </x:c>
      <x:c r="E7" s="6" t="n">
        <x:f>SUMIFS('Pedidos'!$M$5:$M$1504,'Pedidos'!$B$5:$B$1504,$D7)</x:f>
        <x:v>15897</x:v>
      </x:c>
      <x:c r="F7" s="6" t="n">
        <x:f>SUMIFS('Pedidos'!$P$5:$P$1504,'Pedidos'!$B$5:$B$1504,$D7)</x:f>
        <x:v>8205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Unidades vendidas</x:v>
      </x:c>
      <x:c r="B8" s="7" t="n">
        <x:f>SUM('Pedidos'!E5:E1504)</x:f>
        <x:v>2045</x:v>
      </x:c>
      <x:c r="C8" s="1"/>
      <x:c r="D8" s="1" t="str">
        <x:v>2026-03</x:v>
      </x:c>
      <x:c r="E8" s="6" t="n">
        <x:f>SUMIFS('Pedidos'!$M$5:$M$1504,'Pedidos'!$B$5:$B$1504,$D8)</x:f>
        <x:v>16743</x:v>
      </x:c>
      <x:c r="F8" s="6" t="n">
        <x:f>SUMIFS('Pedidos'!$P$5:$P$1504,'Pedidos'!$B$5:$B$1504,$D8)</x:f>
        <x:v>8650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Unidades devueltas</x:v>
      </x:c>
      <x:c r="B9" s="7" t="n">
        <x:f>SUM('Pedidos'!F5:F1504)</x:f>
        <x:v>160</x:v>
      </x:c>
      <x:c r="C9" s="1"/>
      <x:c r="D9" s="1" t="str">
        <x:v>2026-04</x:v>
      </x:c>
      <x:c r="E9" s="6" t="n">
        <x:f>SUMIFS('Pedidos'!$M$5:$M$1504,'Pedidos'!$B$5:$B$1504,$D9)</x:f>
        <x:v>18078</x:v>
      </x:c>
      <x:c r="F9" s="6" t="n">
        <x:f>SUMIFS('Pedidos'!$P$5:$P$1504,'Pedidos'!$B$5:$B$1504,$D9)</x:f>
        <x:v>9225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 t="str">
        <x:v>Tasa de devolución</x:v>
      </x:c>
      <x:c r="B10" s="8" t="n">
        <x:f>IF(B8=0,"n.a.",B9/B8)</x:f>
        <x:v>0.07823960880195599</x:v>
      </x:c>
      <x:c r="C10" s="1"/>
      <x:c r="D10" s="1" t="str">
        <x:v>2026-05</x:v>
      </x:c>
      <x:c r="E10" s="6" t="n">
        <x:f>SUMIFS('Pedidos'!$M$5:$M$1504,'Pedidos'!$B$5:$B$1504,$D10)</x:f>
        <x:v>18636</x:v>
      </x:c>
      <x:c r="F10" s="6" t="n">
        <x:f>SUMIFS('Pedidos'!$P$5:$P$1504,'Pedidos'!$B$5:$B$1504,$D10)</x:f>
        <x:v>9441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 t="str">
        <x:v>Contribución / ventas</x:v>
      </x:c>
      <x:c r="B11" s="8" t="n">
        <x:f>IF(B6=0,"n.a.",B7/B6)</x:f>
        <x:v>0.5107031873851512</x:v>
      </x:c>
      <x:c r="C11" s="1"/>
      <x:c r="D11" s="1" t="str">
        <x:v>2026-06</x:v>
      </x:c>
      <x:c r="E11" s="6" t="n">
        <x:f>SUMIFS('Pedidos'!$M$5:$M$1504,'Pedidos'!$B$5:$B$1504,$D11)</x:f>
        <x:v>20601</x:v>
      </x:c>
      <x:c r="F11" s="6" t="n">
        <x:f>SUMIFS('Pedidos'!$P$5:$P$1504,'Pedidos'!$B$5:$B$1504,$D11)</x:f>
        <x:v>10321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30" customHeight="1">
      <x:c r="A14" s="5" t="str">
        <x:v>Canal</x:v>
      </x:c>
      <x:c r="B14" s="5" t="str">
        <x:v>Unidades</x:v>
      </x:c>
      <x:c r="C14" s="5" t="str">
        <x:v>Devueltas</x:v>
      </x:c>
      <x:c r="D14" s="5" t="str">
        <x:v>Tasa devolución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Online</x:v>
      </x:c>
      <x:c r="B15" s="1" t="n">
        <x:f>SUMIFS('Pedidos'!$E$5:$E$1504,'Pedidos'!$D$5:$D$1504,$A15)</x:f>
        <x:v>1031</x:v>
      </x:c>
      <x:c r="C15" s="1" t="n">
        <x:f>SUMIFS('Pedidos'!$F$5:$F$1504,'Pedidos'!$D$5:$D$1504,$A15)</x:f>
        <x:v>117</x:v>
      </x:c>
      <x:c r="D15" s="8" t="n">
        <x:f>IF(B15=0,"n.a.",C15/B15)</x:f>
        <x:v>0.11348205625606207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 t="str">
        <x:v>Tienda</x:v>
      </x:c>
      <x:c r="B16" s="1" t="n">
        <x:f>SUMIFS('Pedidos'!$E$5:$E$1504,'Pedidos'!$D$5:$D$1504,$A16)</x:f>
        <x:v>1014</x:v>
      </x:c>
      <x:c r="C16" s="1" t="n">
        <x:f>SUMIFS('Pedidos'!$F$5:$F$1504,'Pedidos'!$D$5:$D$1504,$A16)</x:f>
        <x:v>43</x:v>
      </x:c>
      <x:c r="D16" s="8" t="n">
        <x:f>IF(B16=0,"n.a.",C16/B16)</x:f>
        <x:v>0.04240631163708087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9" t="str">
        <x:v>Aplicación de la formación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 t="str">
        <x:v>Excel · Santander Open Academy: tablas, filtros, SUMIFS, ratios y fórmulas de promoción.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 t="str">
        <x:v>Inside LVMH · Retail &amp; Customer Experience: propuesta de mejora del recorrido de compra.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str">
        <x:v>Caso independiente. No es un proyecto oficial ni avalado por las entidades formadoras.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 t="str">
        <x:v>Decisión propuesta: investigar las devoluciones online antes de ampliar promociones.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 t="str">
        <x:v>30 días: registrar motivos de devolución y completar costes, visitas e inventario.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 t="str">
        <x:v>60 días: probar una guía de tallas y medir devoluciones sin perder conversión.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 t="str">
        <x:v>90 días: evaluar cohortes maduras y decidir si ampliar, ajustar o detener la prueba.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 t="str">
        <x:v>Contribución parcial: no incluye costes fijos, transporte inicial ni captación.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 t="str">
        <x:v>Las diferencias entre canales son descriptivas. No demuestran una relación causal.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 t="str">
        <x:v>Fuente: pedidos sintéticos reproducibles; semilla 27092026. Método completo en caso.md.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EA9C4"/>
  </x:sheetPr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Simulador de promoción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 t="str">
        <x:v>Celdas ámbar: entradas editables. Importes sin IVA.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5" t="str">
        <x:v>Supuesto</x:v>
      </x:c>
      <x:c r="B5" s="5" t="str">
        <x:v>Valor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3" customHeight="1">
      <x:c r="A6" s="1" t="str">
        <x:v>Precio por unidad (€)</x:v>
      </x:c>
      <x:c r="B6" s="11" t="n">
        <x:v>60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" t="str">
        <x:v>Coste por unidad (€)</x:v>
      </x:c>
      <x:c r="B7" s="11" t="n">
        <x:v>24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" t="str">
        <x:v>Descuento</x:v>
      </x:c>
      <x:c r="B8" s="12" t="n">
        <x:v>0.2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" t="str">
        <x:v>Unidades sin promoción</x:v>
      </x:c>
      <x:c r="B9" s="10" t="n">
        <x:v>10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30" customHeight="1">
      <x:c r="A12" s="5" t="str">
        <x:v>Cálculo</x:v>
      </x:c>
      <x:c r="B12" s="5" t="str">
        <x:v>Resultado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" t="str">
        <x:v>Precio con descuento</x:v>
      </x:c>
      <x:c r="B13" s="6" t="n">
        <x:f>IF(COUNT(B6:B9)&lt;4,"Faltan entradas",B6*(1-B8))</x:f>
        <x:v>48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" t="str">
        <x:v>Contribución unitaria base</x:v>
      </x:c>
      <x:c r="B14" s="6" t="n">
        <x:f>IF(COUNT(B6:B9)&lt;4,"Faltan entradas",B6-B7)</x:f>
        <x:v>36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" t="str">
        <x:v>Contribución unitaria promocional</x:v>
      </x:c>
      <x:c r="B15" s="6" t="n">
        <x:f>IF(COUNT(B6:B9)&lt;4,"Faltan entradas",B13-B7)</x:f>
        <x:v>24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" t="str">
        <x:v>Unidades para igualar contribución</x:v>
      </x:c>
      <x:c r="B16" s="1" t="n">
        <x:f>IF(COUNT(B6:B9)&lt;4,"Faltan entradas",IF(B15&lt;=0,"No viable",ROUNDUP(B9*B14/B15,0)))</x:f>
        <x:v>15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" t="str">
        <x:v>Aumento mínimo de volumen</x:v>
      </x:c>
      <x:c r="B17" s="8" t="n">
        <x:f>IF(COUNT(B6:B9)&lt;4,"Faltan entradas",IF(B15&lt;=0,"No viable",IF(B9=0,"n.a.",B16/B9-1)))</x:f>
        <x:v>0.5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" t="str">
        <x:v>Supuesto: sin devoluciones ni gastos adicionales.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" t="str">
        <x:v>Es un umbral contable, no una previsión de demanda.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" t="str">
        <x:v>No usar costes o precios negativos. Si faltan entradas, el resultado queda sin calcular.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</x:sheetData>
  <x:dataValidations count="1">
    <x:dataValidation type="decimal" operator="between" sqref="B8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3" customHeight="1">
      <x:c r="A1" s="1" t="str">
        <x:v>Pedidos simulados: datos de origen y cálculos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1" t="str">
        <x:v>Semilla 27092026. Importes en euros. Cohortes cerradas; coste recuperable en devoluciones.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8" customHeight="1">
      <x:c r="A4" s="13" t="str">
        <x:v>Pedido</x:v>
      </x:c>
      <x:c r="B4" s="13" t="str">
        <x:v>Mes</x:v>
      </x:c>
      <x:c r="C4" s="13" t="str">
        <x:v>Categoría</x:v>
      </x:c>
      <x:c r="D4" s="13" t="str">
        <x:v>Canal</x:v>
      </x:c>
      <x:c r="E4" s="13" t="str">
        <x:v>Unidades</x:v>
      </x:c>
      <x:c r="F4" s="13" t="str">
        <x:v>Devueltas</x:v>
      </x:c>
      <x:c r="G4" s="13" t="str">
        <x:v>Precio €</x:v>
      </x:c>
      <x:c r="H4" s="13" t="str">
        <x:v>Coste €</x:v>
      </x:c>
      <x:c r="I4" s="13" t="str">
        <x:v>Descuento</x:v>
      </x:c>
      <x:c r="J4" s="13" t="str">
        <x:v>Manip. €/ud.</x:v>
      </x:c>
      <x:c r="K4" s="13" t="str">
        <x:v>Bruto €</x:v>
      </x:c>
      <x:c r="L4" s="13" t="str">
        <x:v>Desc. bruto €</x:v>
      </x:c>
      <x:c r="M4" s="13" t="str">
        <x:v>Neto €</x:v>
      </x:c>
      <x:c r="N4" s="13" t="str">
        <x:v>Coste retenido €</x:v>
      </x:c>
      <x:c r="O4" s="13" t="str">
        <x:v>Devolución €</x:v>
      </x:c>
      <x:c r="P4" s="13" t="str">
        <x:v>Contribución €</x:v>
      </x:c>
      <x:c r="Q4" s="1"/>
    </x:row>
    <x:row r="5" ht="23" customHeight="1">
      <x:c r="A5" s="14" t="str">
        <x:v>SIM-0001</x:v>
      </x:c>
      <x:c r="B5" s="14" t="str">
        <x:v>2026-01</x:v>
      </x:c>
      <x:c r="C5" s="14" t="str">
        <x:v>Prendas</x:v>
      </x:c>
      <x:c r="D5" s="14" t="str">
        <x:v>Online</x:v>
      </x:c>
      <x:c r="E5" s="14" t="n">
        <x:v>1</x:v>
      </x:c>
      <x:c r="F5" s="14" t="n">
        <x:v>0</x:v>
      </x:c>
      <x:c r="G5" s="18" t="n">
        <x:v>60</x:v>
      </x:c>
      <x:c r="H5" s="18" t="n">
        <x:v>24</x:v>
      </x:c>
      <x:c r="I5" s="16" t="n">
        <x:v>0.3</x:v>
      </x:c>
      <x:c r="J5" s="18" t="n">
        <x:v>6</x:v>
      </x:c>
      <x:c r="K5" s="18" t="n">
        <x:f>E5*G5</x:f>
        <x:v>60</x:v>
      </x:c>
      <x:c r="L5" s="18" t="n">
        <x:f>K5*I5</x:f>
        <x:v>18</x:v>
      </x:c>
      <x:c r="M5" s="18" t="n">
        <x:f>(E5-F5)*G5*(1-I5)</x:f>
        <x:v>42</x:v>
      </x:c>
      <x:c r="N5" s="18" t="n">
        <x:f>(E5-F5)*H5</x:f>
        <x:v>24</x:v>
      </x:c>
      <x:c r="O5" s="18" t="n">
        <x:f>F5*J5</x:f>
        <x:v>0</x:v>
      </x:c>
      <x:c r="P5" s="18" t="n">
        <x:f>M5-N5-O5</x:f>
        <x:v>18</x:v>
      </x:c>
      <x:c r="Q5" s="1"/>
    </x:row>
    <x:row r="6" ht="23" customHeight="1">
      <x:c r="A6" s="14" t="str">
        <x:v>SIM-0002</x:v>
      </x:c>
      <x:c r="B6" s="14" t="str">
        <x:v>2026-01</x:v>
      </x:c>
      <x:c r="C6" s="14" t="str">
        <x:v>Calzado</x:v>
      </x:c>
      <x:c r="D6" s="14" t="str">
        <x:v>Tienda</x:v>
      </x:c>
      <x:c r="E6" s="14" t="n">
        <x:v>3</x:v>
      </x:c>
      <x:c r="F6" s="14" t="n">
        <x:v>0</x:v>
      </x:c>
      <x:c r="G6" s="18" t="n">
        <x:v>90</x:v>
      </x:c>
      <x:c r="H6" s="18" t="n">
        <x:v>42</x:v>
      </x:c>
      <x:c r="I6" s="16" t="n">
        <x:v>0.2</x:v>
      </x:c>
      <x:c r="J6" s="18" t="n">
        <x:v>2</x:v>
      </x:c>
      <x:c r="K6" s="18" t="n">
        <x:f>E6*G6</x:f>
        <x:v>270</x:v>
      </x:c>
      <x:c r="L6" s="18" t="n">
        <x:f>K6*I6</x:f>
        <x:v>54</x:v>
      </x:c>
      <x:c r="M6" s="18" t="n">
        <x:f>(E6-F6)*G6*(1-I6)</x:f>
        <x:v>216</x:v>
      </x:c>
      <x:c r="N6" s="18" t="n">
        <x:f>(E6-F6)*H6</x:f>
        <x:v>126</x:v>
      </x:c>
      <x:c r="O6" s="18" t="n">
        <x:f>F6*J6</x:f>
        <x:v>0</x:v>
      </x:c>
      <x:c r="P6" s="18" t="n">
        <x:f>M6-N6-O6</x:f>
        <x:v>90</x:v>
      </x:c>
      <x:c r="Q6" s="1"/>
    </x:row>
    <x:row r="7" ht="23" customHeight="1">
      <x:c r="A7" s="14" t="str">
        <x:v>SIM-0003</x:v>
      </x:c>
      <x:c r="B7" s="14" t="str">
        <x:v>2026-01</x:v>
      </x:c>
      <x:c r="C7" s="14" t="str">
        <x:v>Prendas</x:v>
      </x:c>
      <x:c r="D7" s="14" t="str">
        <x:v>Online</x:v>
      </x:c>
      <x:c r="E7" s="14" t="n">
        <x:v>1</x:v>
      </x:c>
      <x:c r="F7" s="14" t="n">
        <x:v>1</x:v>
      </x:c>
      <x:c r="G7" s="18" t="n">
        <x:v>60</x:v>
      </x:c>
      <x:c r="H7" s="18" t="n">
        <x:v>24</x:v>
      </x:c>
      <x:c r="I7" s="16" t="n">
        <x:v>0</x:v>
      </x:c>
      <x:c r="J7" s="18" t="n">
        <x:v>6</x:v>
      </x:c>
      <x:c r="K7" s="18" t="n">
        <x:f>E7*G7</x:f>
        <x:v>60</x:v>
      </x:c>
      <x:c r="L7" s="18" t="n">
        <x:f>K7*I7</x:f>
        <x:v>0</x:v>
      </x:c>
      <x:c r="M7" s="18" t="n">
        <x:f>(E7-F7)*G7*(1-I7)</x:f>
        <x:v>0</x:v>
      </x:c>
      <x:c r="N7" s="18" t="n">
        <x:f>(E7-F7)*H7</x:f>
        <x:v>0</x:v>
      </x:c>
      <x:c r="O7" s="18" t="n">
        <x:f>F7*J7</x:f>
        <x:v>6</x:v>
      </x:c>
      <x:c r="P7" s="18" t="n">
        <x:f>M7-N7-O7</x:f>
        <x:v>-6</x:v>
      </x:c>
      <x:c r="Q7" s="1"/>
    </x:row>
    <x:row r="8" ht="23" customHeight="1">
      <x:c r="A8" s="14" t="str">
        <x:v>SIM-0004</x:v>
      </x:c>
      <x:c r="B8" s="14" t="str">
        <x:v>2026-01</x:v>
      </x:c>
      <x:c r="C8" s="14" t="str">
        <x:v>Calzado</x:v>
      </x:c>
      <x:c r="D8" s="14" t="str">
        <x:v>Tienda</x:v>
      </x:c>
      <x:c r="E8" s="14" t="n">
        <x:v>2</x:v>
      </x:c>
      <x:c r="F8" s="14" t="n">
        <x:v>0</x:v>
      </x:c>
      <x:c r="G8" s="18" t="n">
        <x:v>90</x:v>
      </x:c>
      <x:c r="H8" s="18" t="n">
        <x:v>42</x:v>
      </x:c>
      <x:c r="I8" s="16" t="n">
        <x:v>0.2</x:v>
      </x:c>
      <x:c r="J8" s="18" t="n">
        <x:v>2</x:v>
      </x:c>
      <x:c r="K8" s="18" t="n">
        <x:f>E8*G8</x:f>
        <x:v>180</x:v>
      </x:c>
      <x:c r="L8" s="18" t="n">
        <x:f>K8*I8</x:f>
        <x:v>36</x:v>
      </x:c>
      <x:c r="M8" s="18" t="n">
        <x:f>(E8-F8)*G8*(1-I8)</x:f>
        <x:v>144</x:v>
      </x:c>
      <x:c r="N8" s="18" t="n">
        <x:f>(E8-F8)*H8</x:f>
        <x:v>84</x:v>
      </x:c>
      <x:c r="O8" s="18" t="n">
        <x:f>F8*J8</x:f>
        <x:v>0</x:v>
      </x:c>
      <x:c r="P8" s="18" t="n">
        <x:f>M8-N8-O8</x:f>
        <x:v>60</x:v>
      </x:c>
      <x:c r="Q8" s="1"/>
    </x:row>
    <x:row r="9" ht="23" customHeight="1">
      <x:c r="A9" s="14" t="str">
        <x:v>SIM-0005</x:v>
      </x:c>
      <x:c r="B9" s="14" t="str">
        <x:v>2026-01</x:v>
      </x:c>
      <x:c r="C9" s="14" t="str">
        <x:v>Prendas</x:v>
      </x:c>
      <x:c r="D9" s="14" t="str">
        <x:v>Tienda</x:v>
      </x:c>
      <x:c r="E9" s="14" t="n">
        <x:v>1</x:v>
      </x:c>
      <x:c r="F9" s="14" t="n">
        <x:v>0</x:v>
      </x:c>
      <x:c r="G9" s="18" t="n">
        <x:v>60</x:v>
      </x:c>
      <x:c r="H9" s="18" t="n">
        <x:v>24</x:v>
      </x:c>
      <x:c r="I9" s="16" t="n">
        <x:v>0.1</x:v>
      </x:c>
      <x:c r="J9" s="18" t="n">
        <x:v>2</x:v>
      </x:c>
      <x:c r="K9" s="18" t="n">
        <x:f>E9*G9</x:f>
        <x:v>60</x:v>
      </x:c>
      <x:c r="L9" s="18" t="n">
        <x:f>K9*I9</x:f>
        <x:v>6</x:v>
      </x:c>
      <x:c r="M9" s="18" t="n">
        <x:f>(E9-F9)*G9*(1-I9)</x:f>
        <x:v>54</x:v>
      </x:c>
      <x:c r="N9" s="18" t="n">
        <x:f>(E9-F9)*H9</x:f>
        <x:v>24</x:v>
      </x:c>
      <x:c r="O9" s="18" t="n">
        <x:f>F9*J9</x:f>
        <x:v>0</x:v>
      </x:c>
      <x:c r="P9" s="18" t="n">
        <x:f>M9-N9-O9</x:f>
        <x:v>30</x:v>
      </x:c>
      <x:c r="Q9" s="1"/>
    </x:row>
    <x:row r="10" ht="23" customHeight="1">
      <x:c r="A10" s="14" t="str">
        <x:v>SIM-0006</x:v>
      </x:c>
      <x:c r="B10" s="14" t="str">
        <x:v>2026-01</x:v>
      </x:c>
      <x:c r="C10" s="14" t="str">
        <x:v>Prendas</x:v>
      </x:c>
      <x:c r="D10" s="14" t="str">
        <x:v>Tienda</x:v>
      </x:c>
      <x:c r="E10" s="14" t="n">
        <x:v>1</x:v>
      </x:c>
      <x:c r="F10" s="14" t="n">
        <x:v>0</x:v>
      </x:c>
      <x:c r="G10" s="18" t="n">
        <x:v>60</x:v>
      </x:c>
      <x:c r="H10" s="18" t="n">
        <x:v>24</x:v>
      </x:c>
      <x:c r="I10" s="16" t="n">
        <x:v>0.2</x:v>
      </x:c>
      <x:c r="J10" s="18" t="n">
        <x:v>2</x:v>
      </x:c>
      <x:c r="K10" s="18" t="n">
        <x:f>E10*G10</x:f>
        <x:v>60</x:v>
      </x:c>
      <x:c r="L10" s="18" t="n">
        <x:f>K10*I10</x:f>
        <x:v>12</x:v>
      </x:c>
      <x:c r="M10" s="18" t="n">
        <x:f>(E10-F10)*G10*(1-I10)</x:f>
        <x:v>48</x:v>
      </x:c>
      <x:c r="N10" s="18" t="n">
        <x:f>(E10-F10)*H10</x:f>
        <x:v>24</x:v>
      </x:c>
      <x:c r="O10" s="18" t="n">
        <x:f>F10*J10</x:f>
        <x:v>0</x:v>
      </x:c>
      <x:c r="P10" s="18" t="n">
        <x:f>M10-N10-O10</x:f>
        <x:v>24</x:v>
      </x:c>
      <x:c r="Q10" s="1"/>
    </x:row>
    <x:row r="11" ht="23" customHeight="1">
      <x:c r="A11" s="14" t="str">
        <x:v>SIM-0007</x:v>
      </x:c>
      <x:c r="B11" s="14" t="str">
        <x:v>2026-01</x:v>
      </x:c>
      <x:c r="C11" s="14" t="str">
        <x:v>Prendas</x:v>
      </x:c>
      <x:c r="D11" s="14" t="str">
        <x:v>Online</x:v>
      </x:c>
      <x:c r="E11" s="14" t="n">
        <x:v>1</x:v>
      </x:c>
      <x:c r="F11" s="14" t="n">
        <x:v>0</x:v>
      </x:c>
      <x:c r="G11" s="18" t="n">
        <x:v>60</x:v>
      </x:c>
      <x:c r="H11" s="18" t="n">
        <x:v>24</x:v>
      </x:c>
      <x:c r="I11" s="16" t="n">
        <x:v>0</x:v>
      </x:c>
      <x:c r="J11" s="18" t="n">
        <x:v>6</x:v>
      </x:c>
      <x:c r="K11" s="18" t="n">
        <x:f>E11*G11</x:f>
        <x:v>60</x:v>
      </x:c>
      <x:c r="L11" s="18" t="n">
        <x:f>K11*I11</x:f>
        <x:v>0</x:v>
      </x:c>
      <x:c r="M11" s="18" t="n">
        <x:f>(E11-F11)*G11*(1-I11)</x:f>
        <x:v>60</x:v>
      </x:c>
      <x:c r="N11" s="18" t="n">
        <x:f>(E11-F11)*H11</x:f>
        <x:v>24</x:v>
      </x:c>
      <x:c r="O11" s="18" t="n">
        <x:f>F11*J11</x:f>
        <x:v>0</x:v>
      </x:c>
      <x:c r="P11" s="18" t="n">
        <x:f>M11-N11-O11</x:f>
        <x:v>36</x:v>
      </x:c>
      <x:c r="Q11" s="1"/>
    </x:row>
    <x:row r="12" ht="23" customHeight="1">
      <x:c r="A12" s="14" t="str">
        <x:v>SIM-0008</x:v>
      </x:c>
      <x:c r="B12" s="14" t="str">
        <x:v>2026-01</x:v>
      </x:c>
      <x:c r="C12" s="14" t="str">
        <x:v>Calzado</x:v>
      </x:c>
      <x:c r="D12" s="14" t="str">
        <x:v>Tienda</x:v>
      </x:c>
      <x:c r="E12" s="14" t="n">
        <x:v>1</x:v>
      </x:c>
      <x:c r="F12" s="14" t="n">
        <x:v>0</x:v>
      </x:c>
      <x:c r="G12" s="18" t="n">
        <x:v>90</x:v>
      </x:c>
      <x:c r="H12" s="18" t="n">
        <x:v>42</x:v>
      </x:c>
      <x:c r="I12" s="16" t="n">
        <x:v>0.2</x:v>
      </x:c>
      <x:c r="J12" s="18" t="n">
        <x:v>2</x:v>
      </x:c>
      <x:c r="K12" s="18" t="n">
        <x:f>E12*G12</x:f>
        <x:v>90</x:v>
      </x:c>
      <x:c r="L12" s="18" t="n">
        <x:f>K12*I12</x:f>
        <x:v>18</x:v>
      </x:c>
      <x:c r="M12" s="18" t="n">
        <x:f>(E12-F12)*G12*(1-I12)</x:f>
        <x:v>72</x:v>
      </x:c>
      <x:c r="N12" s="18" t="n">
        <x:f>(E12-F12)*H12</x:f>
        <x:v>42</x:v>
      </x:c>
      <x:c r="O12" s="18" t="n">
        <x:f>F12*J12</x:f>
        <x:v>0</x:v>
      </x:c>
      <x:c r="P12" s="18" t="n">
        <x:f>M12-N12-O12</x:f>
        <x:v>30</x:v>
      </x:c>
      <x:c r="Q12" s="1"/>
    </x:row>
    <x:row r="13" ht="23" customHeight="1">
      <x:c r="A13" s="14" t="str">
        <x:v>SIM-0009</x:v>
      </x:c>
      <x:c r="B13" s="14" t="str">
        <x:v>2026-01</x:v>
      </x:c>
      <x:c r="C13" s="14" t="str">
        <x:v>Calzado</x:v>
      </x:c>
      <x:c r="D13" s="14" t="str">
        <x:v>Online</x:v>
      </x:c>
      <x:c r="E13" s="14" t="n">
        <x:v>1</x:v>
      </x:c>
      <x:c r="F13" s="14" t="n">
        <x:v>0</x:v>
      </x:c>
      <x:c r="G13" s="18" t="n">
        <x:v>90</x:v>
      </x:c>
      <x:c r="H13" s="18" t="n">
        <x:v>42</x:v>
      </x:c>
      <x:c r="I13" s="16" t="n">
        <x:v>0.2</x:v>
      </x:c>
      <x:c r="J13" s="18" t="n">
        <x:v>6</x:v>
      </x:c>
      <x:c r="K13" s="18" t="n">
        <x:f>E13*G13</x:f>
        <x:v>90</x:v>
      </x:c>
      <x:c r="L13" s="18" t="n">
        <x:f>K13*I13</x:f>
        <x:v>18</x:v>
      </x:c>
      <x:c r="M13" s="18" t="n">
        <x:f>(E13-F13)*G13*(1-I13)</x:f>
        <x:v>72</x:v>
      </x:c>
      <x:c r="N13" s="18" t="n">
        <x:f>(E13-F13)*H13</x:f>
        <x:v>42</x:v>
      </x:c>
      <x:c r="O13" s="18" t="n">
        <x:f>F13*J13</x:f>
        <x:v>0</x:v>
      </x:c>
      <x:c r="P13" s="18" t="n">
        <x:f>M13-N13-O13</x:f>
        <x:v>30</x:v>
      </x:c>
      <x:c r="Q13" s="1"/>
    </x:row>
    <x:row r="14" ht="23" customHeight="1">
      <x:c r="A14" s="14" t="str">
        <x:v>SIM-0010</x:v>
      </x:c>
      <x:c r="B14" s="14" t="str">
        <x:v>2026-01</x:v>
      </x:c>
      <x:c r="C14" s="14" t="str">
        <x:v>Prendas</x:v>
      </x:c>
      <x:c r="D14" s="14" t="str">
        <x:v>Tienda</x:v>
      </x:c>
      <x:c r="E14" s="14" t="n">
        <x:v>3</x:v>
      </x:c>
      <x:c r="F14" s="14" t="n">
        <x:v>1</x:v>
      </x:c>
      <x:c r="G14" s="18" t="n">
        <x:v>60</x:v>
      </x:c>
      <x:c r="H14" s="18" t="n">
        <x:v>24</x:v>
      </x:c>
      <x:c r="I14" s="16" t="n">
        <x:v>0</x:v>
      </x:c>
      <x:c r="J14" s="18" t="n">
        <x:v>2</x:v>
      </x:c>
      <x:c r="K14" s="18" t="n">
        <x:f>E14*G14</x:f>
        <x:v>180</x:v>
      </x:c>
      <x:c r="L14" s="18" t="n">
        <x:f>K14*I14</x:f>
        <x:v>0</x:v>
      </x:c>
      <x:c r="M14" s="18" t="n">
        <x:f>(E14-F14)*G14*(1-I14)</x:f>
        <x:v>120</x:v>
      </x:c>
      <x:c r="N14" s="18" t="n">
        <x:f>(E14-F14)*H14</x:f>
        <x:v>48</x:v>
      </x:c>
      <x:c r="O14" s="18" t="n">
        <x:f>F14*J14</x:f>
        <x:v>2</x:v>
      </x:c>
      <x:c r="P14" s="18" t="n">
        <x:f>M14-N14-O14</x:f>
        <x:v>70</x:v>
      </x:c>
      <x:c r="Q14" s="1"/>
    </x:row>
    <x:row r="15" ht="23" customHeight="1">
      <x:c r="A15" s="14" t="str">
        <x:v>SIM-0011</x:v>
      </x:c>
      <x:c r="B15" s="14" t="str">
        <x:v>2026-01</x:v>
      </x:c>
      <x:c r="C15" s="14" t="str">
        <x:v>Calzado</x:v>
      </x:c>
      <x:c r="D15" s="14" t="str">
        <x:v>Tienda</x:v>
      </x:c>
      <x:c r="E15" s="14" t="n">
        <x:v>2</x:v>
      </x:c>
      <x:c r="F15" s="14" t="n">
        <x:v>0</x:v>
      </x:c>
      <x:c r="G15" s="18" t="n">
        <x:v>90</x:v>
      </x:c>
      <x:c r="H15" s="18" t="n">
        <x:v>42</x:v>
      </x:c>
      <x:c r="I15" s="16" t="n">
        <x:v>0.1</x:v>
      </x:c>
      <x:c r="J15" s="18" t="n">
        <x:v>2</x:v>
      </x:c>
      <x:c r="K15" s="18" t="n">
        <x:f>E15*G15</x:f>
        <x:v>180</x:v>
      </x:c>
      <x:c r="L15" s="18" t="n">
        <x:f>K15*I15</x:f>
        <x:v>18</x:v>
      </x:c>
      <x:c r="M15" s="18" t="n">
        <x:f>(E15-F15)*G15*(1-I15)</x:f>
        <x:v>162</x:v>
      </x:c>
      <x:c r="N15" s="18" t="n">
        <x:f>(E15-F15)*H15</x:f>
        <x:v>84</x:v>
      </x:c>
      <x:c r="O15" s="18" t="n">
        <x:f>F15*J15</x:f>
        <x:v>0</x:v>
      </x:c>
      <x:c r="P15" s="18" t="n">
        <x:f>M15-N15-O15</x:f>
        <x:v>78</x:v>
      </x:c>
      <x:c r="Q15" s="1"/>
    </x:row>
    <x:row r="16" ht="23" customHeight="1">
      <x:c r="A16" s="14" t="str">
        <x:v>SIM-0012</x:v>
      </x:c>
      <x:c r="B16" s="14" t="str">
        <x:v>2026-01</x:v>
      </x:c>
      <x:c r="C16" s="14" t="str">
        <x:v>Calzado</x:v>
      </x:c>
      <x:c r="D16" s="14" t="str">
        <x:v>Online</x:v>
      </x:c>
      <x:c r="E16" s="14" t="n">
        <x:v>3</x:v>
      </x:c>
      <x:c r="F16" s="14" t="n">
        <x:v>0</x:v>
      </x:c>
      <x:c r="G16" s="18" t="n">
        <x:v>90</x:v>
      </x:c>
      <x:c r="H16" s="18" t="n">
        <x:v>42</x:v>
      </x:c>
      <x:c r="I16" s="16" t="n">
        <x:v>0</x:v>
      </x:c>
      <x:c r="J16" s="18" t="n">
        <x:v>6</x:v>
      </x:c>
      <x:c r="K16" s="18" t="n">
        <x:f>E16*G16</x:f>
        <x:v>270</x:v>
      </x:c>
      <x:c r="L16" s="18" t="n">
        <x:f>K16*I16</x:f>
        <x:v>0</x:v>
      </x:c>
      <x:c r="M16" s="18" t="n">
        <x:f>(E16-F16)*G16*(1-I16)</x:f>
        <x:v>270</x:v>
      </x:c>
      <x:c r="N16" s="18" t="n">
        <x:f>(E16-F16)*H16</x:f>
        <x:v>126</x:v>
      </x:c>
      <x:c r="O16" s="18" t="n">
        <x:f>F16*J16</x:f>
        <x:v>0</x:v>
      </x:c>
      <x:c r="P16" s="18" t="n">
        <x:f>M16-N16-O16</x:f>
        <x:v>144</x:v>
      </x:c>
      <x:c r="Q16" s="1"/>
    </x:row>
    <x:row r="17" ht="23" customHeight="1">
      <x:c r="A17" s="14" t="str">
        <x:v>SIM-0013</x:v>
      </x:c>
      <x:c r="B17" s="14" t="str">
        <x:v>2026-01</x:v>
      </x:c>
      <x:c r="C17" s="14" t="str">
        <x:v>Calzado</x:v>
      </x:c>
      <x:c r="D17" s="14" t="str">
        <x:v>Online</x:v>
      </x:c>
      <x:c r="E17" s="14" t="n">
        <x:v>2</x:v>
      </x:c>
      <x:c r="F17" s="14" t="n">
        <x:v>1</x:v>
      </x:c>
      <x:c r="G17" s="18" t="n">
        <x:v>90</x:v>
      </x:c>
      <x:c r="H17" s="18" t="n">
        <x:v>42</x:v>
      </x:c>
      <x:c r="I17" s="16" t="n">
        <x:v>0.1</x:v>
      </x:c>
      <x:c r="J17" s="18" t="n">
        <x:v>6</x:v>
      </x:c>
      <x:c r="K17" s="18" t="n">
        <x:f>E17*G17</x:f>
        <x:v>180</x:v>
      </x:c>
      <x:c r="L17" s="18" t="n">
        <x:f>K17*I17</x:f>
        <x:v>18</x:v>
      </x:c>
      <x:c r="M17" s="18" t="n">
        <x:f>(E17-F17)*G17*(1-I17)</x:f>
        <x:v>81</x:v>
      </x:c>
      <x:c r="N17" s="18" t="n">
        <x:f>(E17-F17)*H17</x:f>
        <x:v>42</x:v>
      </x:c>
      <x:c r="O17" s="18" t="n">
        <x:f>F17*J17</x:f>
        <x:v>6</x:v>
      </x:c>
      <x:c r="P17" s="18" t="n">
        <x:f>M17-N17-O17</x:f>
        <x:v>33</x:v>
      </x:c>
      <x:c r="Q17" s="1"/>
    </x:row>
    <x:row r="18" ht="23" customHeight="1">
      <x:c r="A18" s="14" t="str">
        <x:v>SIM-0014</x:v>
      </x:c>
      <x:c r="B18" s="14" t="str">
        <x:v>2026-01</x:v>
      </x:c>
      <x:c r="C18" s="14" t="str">
        <x:v>Prendas</x:v>
      </x:c>
      <x:c r="D18" s="14" t="str">
        <x:v>Online</x:v>
      </x:c>
      <x:c r="E18" s="14" t="n">
        <x:v>1</x:v>
      </x:c>
      <x:c r="F18" s="14" t="n">
        <x:v>0</x:v>
      </x:c>
      <x:c r="G18" s="18" t="n">
        <x:v>60</x:v>
      </x:c>
      <x:c r="H18" s="18" t="n">
        <x:v>24</x:v>
      </x:c>
      <x:c r="I18" s="16" t="n">
        <x:v>0.1</x:v>
      </x:c>
      <x:c r="J18" s="18" t="n">
        <x:v>6</x:v>
      </x:c>
      <x:c r="K18" s="18" t="n">
        <x:f>E18*G18</x:f>
        <x:v>60</x:v>
      </x:c>
      <x:c r="L18" s="18" t="n">
        <x:f>K18*I18</x:f>
        <x:v>6</x:v>
      </x:c>
      <x:c r="M18" s="18" t="n">
        <x:f>(E18-F18)*G18*(1-I18)</x:f>
        <x:v>54</x:v>
      </x:c>
      <x:c r="N18" s="18" t="n">
        <x:f>(E18-F18)*H18</x:f>
        <x:v>24</x:v>
      </x:c>
      <x:c r="O18" s="18" t="n">
        <x:f>F18*J18</x:f>
        <x:v>0</x:v>
      </x:c>
      <x:c r="P18" s="18" t="n">
        <x:f>M18-N18-O18</x:f>
        <x:v>30</x:v>
      </x:c>
      <x:c r="Q18" s="1"/>
    </x:row>
    <x:row r="19" ht="23" customHeight="1">
      <x:c r="A19" s="14" t="str">
        <x:v>SIM-0015</x:v>
      </x:c>
      <x:c r="B19" s="14" t="str">
        <x:v>2026-01</x:v>
      </x:c>
      <x:c r="C19" s="14" t="str">
        <x:v>Prendas</x:v>
      </x:c>
      <x:c r="D19" s="14" t="str">
        <x:v>Tienda</x:v>
      </x:c>
      <x:c r="E19" s="14" t="n">
        <x:v>1</x:v>
      </x:c>
      <x:c r="F19" s="14" t="n">
        <x:v>0</x:v>
      </x:c>
      <x:c r="G19" s="18" t="n">
        <x:v>60</x:v>
      </x:c>
      <x:c r="H19" s="18" t="n">
        <x:v>24</x:v>
      </x:c>
      <x:c r="I19" s="16" t="n">
        <x:v>0</x:v>
      </x:c>
      <x:c r="J19" s="18" t="n">
        <x:v>2</x:v>
      </x:c>
      <x:c r="K19" s="18" t="n">
        <x:f>E19*G19</x:f>
        <x:v>60</x:v>
      </x:c>
      <x:c r="L19" s="18" t="n">
        <x:f>K19*I19</x:f>
        <x:v>0</x:v>
      </x:c>
      <x:c r="M19" s="18" t="n">
        <x:f>(E19-F19)*G19*(1-I19)</x:f>
        <x:v>60</x:v>
      </x:c>
      <x:c r="N19" s="18" t="n">
        <x:f>(E19-F19)*H19</x:f>
        <x:v>24</x:v>
      </x:c>
      <x:c r="O19" s="18" t="n">
        <x:f>F19*J19</x:f>
        <x:v>0</x:v>
      </x:c>
      <x:c r="P19" s="18" t="n">
        <x:f>M19-N19-O19</x:f>
        <x:v>36</x:v>
      </x:c>
      <x:c r="Q19" s="1"/>
    </x:row>
    <x:row r="20" ht="23" customHeight="1">
      <x:c r="A20" s="14" t="str">
        <x:v>SIM-0016</x:v>
      </x:c>
      <x:c r="B20" s="14" t="str">
        <x:v>2026-01</x:v>
      </x:c>
      <x:c r="C20" s="14" t="str">
        <x:v>Accesorios</x:v>
      </x:c>
      <x:c r="D20" s="14" t="str">
        <x:v>Online</x:v>
      </x:c>
      <x:c r="E20" s="14" t="n">
        <x:v>1</x:v>
      </x:c>
      <x:c r="F20" s="14" t="n">
        <x:v>0</x:v>
      </x:c>
      <x:c r="G20" s="18" t="n">
        <x:v>30</x:v>
      </x:c>
      <x:c r="H20" s="18" t="n">
        <x:v>9</x:v>
      </x:c>
      <x:c r="I20" s="16" t="n">
        <x:v>0</x:v>
      </x:c>
      <x:c r="J20" s="18" t="n">
        <x:v>6</x:v>
      </x:c>
      <x:c r="K20" s="18" t="n">
        <x:f>E20*G20</x:f>
        <x:v>30</x:v>
      </x:c>
      <x:c r="L20" s="18" t="n">
        <x:f>K20*I20</x:f>
        <x:v>0</x:v>
      </x:c>
      <x:c r="M20" s="18" t="n">
        <x:f>(E20-F20)*G20*(1-I20)</x:f>
        <x:v>30</x:v>
      </x:c>
      <x:c r="N20" s="18" t="n">
        <x:f>(E20-F20)*H20</x:f>
        <x:v>9</x:v>
      </x:c>
      <x:c r="O20" s="18" t="n">
        <x:f>F20*J20</x:f>
        <x:v>0</x:v>
      </x:c>
      <x:c r="P20" s="18" t="n">
        <x:f>M20-N20-O20</x:f>
        <x:v>21</x:v>
      </x:c>
      <x:c r="Q20" s="1"/>
    </x:row>
    <x:row r="21" ht="23" customHeight="1">
      <x:c r="A21" s="14" t="str">
        <x:v>SIM-0017</x:v>
      </x:c>
      <x:c r="B21" s="14" t="str">
        <x:v>2026-01</x:v>
      </x:c>
      <x:c r="C21" s="14" t="str">
        <x:v>Prendas</x:v>
      </x:c>
      <x:c r="D21" s="14" t="str">
        <x:v>Online</x:v>
      </x:c>
      <x:c r="E21" s="14" t="n">
        <x:v>1</x:v>
      </x:c>
      <x:c r="F21" s="14" t="n">
        <x:v>0</x:v>
      </x:c>
      <x:c r="G21" s="18" t="n">
        <x:v>60</x:v>
      </x:c>
      <x:c r="H21" s="18" t="n">
        <x:v>24</x:v>
      </x:c>
      <x:c r="I21" s="16" t="n">
        <x:v>0</x:v>
      </x:c>
      <x:c r="J21" s="18" t="n">
        <x:v>6</x:v>
      </x:c>
      <x:c r="K21" s="18" t="n">
        <x:f>E21*G21</x:f>
        <x:v>60</x:v>
      </x:c>
      <x:c r="L21" s="18" t="n">
        <x:f>K21*I21</x:f>
        <x:v>0</x:v>
      </x:c>
      <x:c r="M21" s="18" t="n">
        <x:f>(E21-F21)*G21*(1-I21)</x:f>
        <x:v>60</x:v>
      </x:c>
      <x:c r="N21" s="18" t="n">
        <x:f>(E21-F21)*H21</x:f>
        <x:v>24</x:v>
      </x:c>
      <x:c r="O21" s="18" t="n">
        <x:f>F21*J21</x:f>
        <x:v>0</x:v>
      </x:c>
      <x:c r="P21" s="18" t="n">
        <x:f>M21-N21-O21</x:f>
        <x:v>36</x:v>
      </x:c>
      <x:c r="Q21" s="1"/>
    </x:row>
    <x:row r="22" ht="23" customHeight="1">
      <x:c r="A22" s="14" t="str">
        <x:v>SIM-0018</x:v>
      </x:c>
      <x:c r="B22" s="14" t="str">
        <x:v>2026-01</x:v>
      </x:c>
      <x:c r="C22" s="14" t="str">
        <x:v>Prendas</x:v>
      </x:c>
      <x:c r="D22" s="14" t="str">
        <x:v>Online</x:v>
      </x:c>
      <x:c r="E22" s="14" t="n">
        <x:v>2</x:v>
      </x:c>
      <x:c r="F22" s="14" t="n">
        <x:v>0</x:v>
      </x:c>
      <x:c r="G22" s="18" t="n">
        <x:v>60</x:v>
      </x:c>
      <x:c r="H22" s="18" t="n">
        <x:v>24</x:v>
      </x:c>
      <x:c r="I22" s="16" t="n">
        <x:v>0</x:v>
      </x:c>
      <x:c r="J22" s="18" t="n">
        <x:v>6</x:v>
      </x:c>
      <x:c r="K22" s="18" t="n">
        <x:f>E22*G22</x:f>
        <x:v>120</x:v>
      </x:c>
      <x:c r="L22" s="18" t="n">
        <x:f>K22*I22</x:f>
        <x:v>0</x:v>
      </x:c>
      <x:c r="M22" s="18" t="n">
        <x:f>(E22-F22)*G22*(1-I22)</x:f>
        <x:v>120</x:v>
      </x:c>
      <x:c r="N22" s="18" t="n">
        <x:f>(E22-F22)*H22</x:f>
        <x:v>48</x:v>
      </x:c>
      <x:c r="O22" s="18" t="n">
        <x:f>F22*J22</x:f>
        <x:v>0</x:v>
      </x:c>
      <x:c r="P22" s="18" t="n">
        <x:f>M22-N22-O22</x:f>
        <x:v>72</x:v>
      </x:c>
      <x:c r="Q22" s="1"/>
    </x:row>
    <x:row r="23" ht="23" customHeight="1">
      <x:c r="A23" s="14" t="str">
        <x:v>SIM-0019</x:v>
      </x:c>
      <x:c r="B23" s="14" t="str">
        <x:v>2026-01</x:v>
      </x:c>
      <x:c r="C23" s="14" t="str">
        <x:v>Prendas</x:v>
      </x:c>
      <x:c r="D23" s="14" t="str">
        <x:v>Online</x:v>
      </x:c>
      <x:c r="E23" s="14" t="n">
        <x:v>1</x:v>
      </x:c>
      <x:c r="F23" s="14" t="n">
        <x:v>0</x:v>
      </x:c>
      <x:c r="G23" s="18" t="n">
        <x:v>60</x:v>
      </x:c>
      <x:c r="H23" s="18" t="n">
        <x:v>24</x:v>
      </x:c>
      <x:c r="I23" s="16" t="n">
        <x:v>0.2</x:v>
      </x:c>
      <x:c r="J23" s="18" t="n">
        <x:v>6</x:v>
      </x:c>
      <x:c r="K23" s="18" t="n">
        <x:f>E23*G23</x:f>
        <x:v>60</x:v>
      </x:c>
      <x:c r="L23" s="18" t="n">
        <x:f>K23*I23</x:f>
        <x:v>12</x:v>
      </x:c>
      <x:c r="M23" s="18" t="n">
        <x:f>(E23-F23)*G23*(1-I23)</x:f>
        <x:v>48</x:v>
      </x:c>
      <x:c r="N23" s="18" t="n">
        <x:f>(E23-F23)*H23</x:f>
        <x:v>24</x:v>
      </x:c>
      <x:c r="O23" s="18" t="n">
        <x:f>F23*J23</x:f>
        <x:v>0</x:v>
      </x:c>
      <x:c r="P23" s="18" t="n">
        <x:f>M23-N23-O23</x:f>
        <x:v>24</x:v>
      </x:c>
      <x:c r="Q23" s="1"/>
    </x:row>
    <x:row r="24" ht="23" customHeight="1">
      <x:c r="A24" s="14" t="str">
        <x:v>SIM-0020</x:v>
      </x:c>
      <x:c r="B24" s="14" t="str">
        <x:v>2026-01</x:v>
      </x:c>
      <x:c r="C24" s="14" t="str">
        <x:v>Prendas</x:v>
      </x:c>
      <x:c r="D24" s="14" t="str">
        <x:v>Online</x:v>
      </x:c>
      <x:c r="E24" s="14" t="n">
        <x:v>2</x:v>
      </x:c>
      <x:c r="F24" s="14" t="n">
        <x:v>0</x:v>
      </x:c>
      <x:c r="G24" s="18" t="n">
        <x:v>60</x:v>
      </x:c>
      <x:c r="H24" s="18" t="n">
        <x:v>24</x:v>
      </x:c>
      <x:c r="I24" s="16" t="n">
        <x:v>0</x:v>
      </x:c>
      <x:c r="J24" s="18" t="n">
        <x:v>6</x:v>
      </x:c>
      <x:c r="K24" s="18" t="n">
        <x:f>E24*G24</x:f>
        <x:v>120</x:v>
      </x:c>
      <x:c r="L24" s="18" t="n">
        <x:f>K24*I24</x:f>
        <x:v>0</x:v>
      </x:c>
      <x:c r="M24" s="18" t="n">
        <x:f>(E24-F24)*G24*(1-I24)</x:f>
        <x:v>120</x:v>
      </x:c>
      <x:c r="N24" s="18" t="n">
        <x:f>(E24-F24)*H24</x:f>
        <x:v>48</x:v>
      </x:c>
      <x:c r="O24" s="18" t="n">
        <x:f>F24*J24</x:f>
        <x:v>0</x:v>
      </x:c>
      <x:c r="P24" s="18" t="n">
        <x:f>M24-N24-O24</x:f>
        <x:v>72</x:v>
      </x:c>
      <x:c r="Q24" s="1"/>
    </x:row>
    <x:row r="25" ht="23" customHeight="1">
      <x:c r="A25" s="14" t="str">
        <x:v>SIM-0021</x:v>
      </x:c>
      <x:c r="B25" s="14" t="str">
        <x:v>2026-01</x:v>
      </x:c>
      <x:c r="C25" s="14" t="str">
        <x:v>Accesorios</x:v>
      </x:c>
      <x:c r="D25" s="14" t="str">
        <x:v>Online</x:v>
      </x:c>
      <x:c r="E25" s="14" t="n">
        <x:v>1</x:v>
      </x:c>
      <x:c r="F25" s="14" t="n">
        <x:v>0</x:v>
      </x:c>
      <x:c r="G25" s="18" t="n">
        <x:v>30</x:v>
      </x:c>
      <x:c r="H25" s="18" t="n">
        <x:v>9</x:v>
      </x:c>
      <x:c r="I25" s="16" t="n">
        <x:v>0.2</x:v>
      </x:c>
      <x:c r="J25" s="18" t="n">
        <x:v>6</x:v>
      </x:c>
      <x:c r="K25" s="18" t="n">
        <x:f>E25*G25</x:f>
        <x:v>30</x:v>
      </x:c>
      <x:c r="L25" s="18" t="n">
        <x:f>K25*I25</x:f>
        <x:v>6</x:v>
      </x:c>
      <x:c r="M25" s="18" t="n">
        <x:f>(E25-F25)*G25*(1-I25)</x:f>
        <x:v>24</x:v>
      </x:c>
      <x:c r="N25" s="18" t="n">
        <x:f>(E25-F25)*H25</x:f>
        <x:v>9</x:v>
      </x:c>
      <x:c r="O25" s="18" t="n">
        <x:f>F25*J25</x:f>
        <x:v>0</x:v>
      </x:c>
      <x:c r="P25" s="18" t="n">
        <x:f>M25-N25-O25</x:f>
        <x:v>15</x:v>
      </x:c>
      <x:c r="Q25" s="1"/>
    </x:row>
    <x:row r="26" ht="23" customHeight="1">
      <x:c r="A26" s="14" t="str">
        <x:v>SIM-0022</x:v>
      </x:c>
      <x:c r="B26" s="14" t="str">
        <x:v>2026-01</x:v>
      </x:c>
      <x:c r="C26" s="14" t="str">
        <x:v>Prendas</x:v>
      </x:c>
      <x:c r="D26" s="14" t="str">
        <x:v>Online</x:v>
      </x:c>
      <x:c r="E26" s="14" t="n">
        <x:v>3</x:v>
      </x:c>
      <x:c r="F26" s="14" t="n">
        <x:v>1</x:v>
      </x:c>
      <x:c r="G26" s="18" t="n">
        <x:v>60</x:v>
      </x:c>
      <x:c r="H26" s="18" t="n">
        <x:v>24</x:v>
      </x:c>
      <x:c r="I26" s="16" t="n">
        <x:v>0.2</x:v>
      </x:c>
      <x:c r="J26" s="18" t="n">
        <x:v>6</x:v>
      </x:c>
      <x:c r="K26" s="18" t="n">
        <x:f>E26*G26</x:f>
        <x:v>180</x:v>
      </x:c>
      <x:c r="L26" s="18" t="n">
        <x:f>K26*I26</x:f>
        <x:v>36</x:v>
      </x:c>
      <x:c r="M26" s="18" t="n">
        <x:f>(E26-F26)*G26*(1-I26)</x:f>
        <x:v>96</x:v>
      </x:c>
      <x:c r="N26" s="18" t="n">
        <x:f>(E26-F26)*H26</x:f>
        <x:v>48</x:v>
      </x:c>
      <x:c r="O26" s="18" t="n">
        <x:f>F26*J26</x:f>
        <x:v>6</x:v>
      </x:c>
      <x:c r="P26" s="18" t="n">
        <x:f>M26-N26-O26</x:f>
        <x:v>42</x:v>
      </x:c>
      <x:c r="Q26" s="1"/>
    </x:row>
    <x:row r="27" ht="23" customHeight="1">
      <x:c r="A27" s="14" t="str">
        <x:v>SIM-0023</x:v>
      </x:c>
      <x:c r="B27" s="14" t="str">
        <x:v>2026-01</x:v>
      </x:c>
      <x:c r="C27" s="14" t="str">
        <x:v>Prendas</x:v>
      </x:c>
      <x:c r="D27" s="14" t="str">
        <x:v>Online</x:v>
      </x:c>
      <x:c r="E27" s="14" t="n">
        <x:v>1</x:v>
      </x:c>
      <x:c r="F27" s="14" t="n">
        <x:v>0</x:v>
      </x:c>
      <x:c r="G27" s="18" t="n">
        <x:v>60</x:v>
      </x:c>
      <x:c r="H27" s="18" t="n">
        <x:v>24</x:v>
      </x:c>
      <x:c r="I27" s="16" t="n">
        <x:v>0.1</x:v>
      </x:c>
      <x:c r="J27" s="18" t="n">
        <x:v>6</x:v>
      </x:c>
      <x:c r="K27" s="18" t="n">
        <x:f>E27*G27</x:f>
        <x:v>60</x:v>
      </x:c>
      <x:c r="L27" s="18" t="n">
        <x:f>K27*I27</x:f>
        <x:v>6</x:v>
      </x:c>
      <x:c r="M27" s="18" t="n">
        <x:f>(E27-F27)*G27*(1-I27)</x:f>
        <x:v>54</x:v>
      </x:c>
      <x:c r="N27" s="18" t="n">
        <x:f>(E27-F27)*H27</x:f>
        <x:v>24</x:v>
      </x:c>
      <x:c r="O27" s="18" t="n">
        <x:f>F27*J27</x:f>
        <x:v>0</x:v>
      </x:c>
      <x:c r="P27" s="18" t="n">
        <x:f>M27-N27-O27</x:f>
        <x:v>30</x:v>
      </x:c>
      <x:c r="Q27" s="1"/>
    </x:row>
    <x:row r="28" ht="23" customHeight="1">
      <x:c r="A28" s="14" t="str">
        <x:v>SIM-0024</x:v>
      </x:c>
      <x:c r="B28" s="14" t="str">
        <x:v>2026-01</x:v>
      </x:c>
      <x:c r="C28" s="14" t="str">
        <x:v>Prendas</x:v>
      </x:c>
      <x:c r="D28" s="14" t="str">
        <x:v>Online</x:v>
      </x:c>
      <x:c r="E28" s="14" t="n">
        <x:v>1</x:v>
      </x:c>
      <x:c r="F28" s="14" t="n">
        <x:v>0</x:v>
      </x:c>
      <x:c r="G28" s="18" t="n">
        <x:v>60</x:v>
      </x:c>
      <x:c r="H28" s="18" t="n">
        <x:v>24</x:v>
      </x:c>
      <x:c r="I28" s="16" t="n">
        <x:v>0</x:v>
      </x:c>
      <x:c r="J28" s="18" t="n">
        <x:v>6</x:v>
      </x:c>
      <x:c r="K28" s="18" t="n">
        <x:f>E28*G28</x:f>
        <x:v>60</x:v>
      </x:c>
      <x:c r="L28" s="18" t="n">
        <x:f>K28*I28</x:f>
        <x:v>0</x:v>
      </x:c>
      <x:c r="M28" s="18" t="n">
        <x:f>(E28-F28)*G28*(1-I28)</x:f>
        <x:v>60</x:v>
      </x:c>
      <x:c r="N28" s="18" t="n">
        <x:f>(E28-F28)*H28</x:f>
        <x:v>24</x:v>
      </x:c>
      <x:c r="O28" s="18" t="n">
        <x:f>F28*J28</x:f>
        <x:v>0</x:v>
      </x:c>
      <x:c r="P28" s="18" t="n">
        <x:f>M28-N28-O28</x:f>
        <x:v>36</x:v>
      </x:c>
      <x:c r="Q28" s="1"/>
    </x:row>
    <x:row r="29" ht="23" customHeight="1">
      <x:c r="A29" s="14" t="str">
        <x:v>SIM-0025</x:v>
      </x:c>
      <x:c r="B29" s="14" t="str">
        <x:v>2026-01</x:v>
      </x:c>
      <x:c r="C29" s="14" t="str">
        <x:v>Accesorios</x:v>
      </x:c>
      <x:c r="D29" s="14" t="str">
        <x:v>Tienda</x:v>
      </x:c>
      <x:c r="E29" s="14" t="n">
        <x:v>2</x:v>
      </x:c>
      <x:c r="F29" s="14" t="n">
        <x:v>0</x:v>
      </x:c>
      <x:c r="G29" s="18" t="n">
        <x:v>30</x:v>
      </x:c>
      <x:c r="H29" s="18" t="n">
        <x:v>9</x:v>
      </x:c>
      <x:c r="I29" s="16" t="n">
        <x:v>0</x:v>
      </x:c>
      <x:c r="J29" s="18" t="n">
        <x:v>2</x:v>
      </x:c>
      <x:c r="K29" s="18" t="n">
        <x:f>E29*G29</x:f>
        <x:v>60</x:v>
      </x:c>
      <x:c r="L29" s="18" t="n">
        <x:f>K29*I29</x:f>
        <x:v>0</x:v>
      </x:c>
      <x:c r="M29" s="18" t="n">
        <x:f>(E29-F29)*G29*(1-I29)</x:f>
        <x:v>60</x:v>
      </x:c>
      <x:c r="N29" s="18" t="n">
        <x:f>(E29-F29)*H29</x:f>
        <x:v>18</x:v>
      </x:c>
      <x:c r="O29" s="18" t="n">
        <x:f>F29*J29</x:f>
        <x:v>0</x:v>
      </x:c>
      <x:c r="P29" s="18" t="n">
        <x:f>M29-N29-O29</x:f>
        <x:v>42</x:v>
      </x:c>
      <x:c r="Q29" s="1"/>
    </x:row>
    <x:row r="30" ht="23" customHeight="1">
      <x:c r="A30" s="14" t="str">
        <x:v>SIM-0026</x:v>
      </x:c>
      <x:c r="B30" s="14" t="str">
        <x:v>2026-01</x:v>
      </x:c>
      <x:c r="C30" s="14" t="str">
        <x:v>Prendas</x:v>
      </x:c>
      <x:c r="D30" s="14" t="str">
        <x:v>Tienda</x:v>
      </x:c>
      <x:c r="E30" s="14" t="n">
        <x:v>1</x:v>
      </x:c>
      <x:c r="F30" s="14" t="n">
        <x:v>0</x:v>
      </x:c>
      <x:c r="G30" s="18" t="n">
        <x:v>60</x:v>
      </x:c>
      <x:c r="H30" s="18" t="n">
        <x:v>24</x:v>
      </x:c>
      <x:c r="I30" s="16" t="n">
        <x:v>0.2</x:v>
      </x:c>
      <x:c r="J30" s="18" t="n">
        <x:v>2</x:v>
      </x:c>
      <x:c r="K30" s="18" t="n">
        <x:f>E30*G30</x:f>
        <x:v>60</x:v>
      </x:c>
      <x:c r="L30" s="18" t="n">
        <x:f>K30*I30</x:f>
        <x:v>12</x:v>
      </x:c>
      <x:c r="M30" s="18" t="n">
        <x:f>(E30-F30)*G30*(1-I30)</x:f>
        <x:v>48</x:v>
      </x:c>
      <x:c r="N30" s="18" t="n">
        <x:f>(E30-F30)*H30</x:f>
        <x:v>24</x:v>
      </x:c>
      <x:c r="O30" s="18" t="n">
        <x:f>F30*J30</x:f>
        <x:v>0</x:v>
      </x:c>
      <x:c r="P30" s="18" t="n">
        <x:f>M30-N30-O30</x:f>
        <x:v>24</x:v>
      </x:c>
      <x:c r="Q30" s="1"/>
    </x:row>
    <x:row r="31" ht="23" customHeight="1">
      <x:c r="A31" s="14" t="str">
        <x:v>SIM-0027</x:v>
      </x:c>
      <x:c r="B31" s="14" t="str">
        <x:v>2026-01</x:v>
      </x:c>
      <x:c r="C31" s="14" t="str">
        <x:v>Prendas</x:v>
      </x:c>
      <x:c r="D31" s="14" t="str">
        <x:v>Online</x:v>
      </x:c>
      <x:c r="E31" s="14" t="n">
        <x:v>1</x:v>
      </x:c>
      <x:c r="F31" s="14" t="n">
        <x:v>0</x:v>
      </x:c>
      <x:c r="G31" s="18" t="n">
        <x:v>60</x:v>
      </x:c>
      <x:c r="H31" s="18" t="n">
        <x:v>24</x:v>
      </x:c>
      <x:c r="I31" s="16" t="n">
        <x:v>0</x:v>
      </x:c>
      <x:c r="J31" s="18" t="n">
        <x:v>6</x:v>
      </x:c>
      <x:c r="K31" s="18" t="n">
        <x:f>E31*G31</x:f>
        <x:v>60</x:v>
      </x:c>
      <x:c r="L31" s="18" t="n">
        <x:f>K31*I31</x:f>
        <x:v>0</x:v>
      </x:c>
      <x:c r="M31" s="18" t="n">
        <x:f>(E31-F31)*G31*(1-I31)</x:f>
        <x:v>60</x:v>
      </x:c>
      <x:c r="N31" s="18" t="n">
        <x:f>(E31-F31)*H31</x:f>
        <x:v>24</x:v>
      </x:c>
      <x:c r="O31" s="18" t="n">
        <x:f>F31*J31</x:f>
        <x:v>0</x:v>
      </x:c>
      <x:c r="P31" s="18" t="n">
        <x:f>M31-N31-O31</x:f>
        <x:v>36</x:v>
      </x:c>
      <x:c r="Q31" s="1"/>
    </x:row>
    <x:row r="32" ht="23" customHeight="1">
      <x:c r="A32" s="14" t="str">
        <x:v>SIM-0028</x:v>
      </x:c>
      <x:c r="B32" s="14" t="str">
        <x:v>2026-01</x:v>
      </x:c>
      <x:c r="C32" s="14" t="str">
        <x:v>Calzado</x:v>
      </x:c>
      <x:c r="D32" s="14" t="str">
        <x:v>Online</x:v>
      </x:c>
      <x:c r="E32" s="14" t="n">
        <x:v>1</x:v>
      </x:c>
      <x:c r="F32" s="14" t="n">
        <x:v>0</x:v>
      </x:c>
      <x:c r="G32" s="18" t="n">
        <x:v>90</x:v>
      </x:c>
      <x:c r="H32" s="18" t="n">
        <x:v>42</x:v>
      </x:c>
      <x:c r="I32" s="16" t="n">
        <x:v>0.2</x:v>
      </x:c>
      <x:c r="J32" s="18" t="n">
        <x:v>6</x:v>
      </x:c>
      <x:c r="K32" s="18" t="n">
        <x:f>E32*G32</x:f>
        <x:v>90</x:v>
      </x:c>
      <x:c r="L32" s="18" t="n">
        <x:f>K32*I32</x:f>
        <x:v>18</x:v>
      </x:c>
      <x:c r="M32" s="18" t="n">
        <x:f>(E32-F32)*G32*(1-I32)</x:f>
        <x:v>72</x:v>
      </x:c>
      <x:c r="N32" s="18" t="n">
        <x:f>(E32-F32)*H32</x:f>
        <x:v>42</x:v>
      </x:c>
      <x:c r="O32" s="18" t="n">
        <x:f>F32*J32</x:f>
        <x:v>0</x:v>
      </x:c>
      <x:c r="P32" s="18" t="n">
        <x:f>M32-N32-O32</x:f>
        <x:v>30</x:v>
      </x:c>
      <x:c r="Q32" s="1"/>
    </x:row>
    <x:row r="33" ht="23" customHeight="1">
      <x:c r="A33" s="14" t="str">
        <x:v>SIM-0029</x:v>
      </x:c>
      <x:c r="B33" s="14" t="str">
        <x:v>2026-01</x:v>
      </x:c>
      <x:c r="C33" s="14" t="str">
        <x:v>Calzado</x:v>
      </x:c>
      <x:c r="D33" s="14" t="str">
        <x:v>Online</x:v>
      </x:c>
      <x:c r="E33" s="14" t="n">
        <x:v>1</x:v>
      </x:c>
      <x:c r="F33" s="14" t="n">
        <x:v>0</x:v>
      </x:c>
      <x:c r="G33" s="18" t="n">
        <x:v>90</x:v>
      </x:c>
      <x:c r="H33" s="18" t="n">
        <x:v>42</x:v>
      </x:c>
      <x:c r="I33" s="16" t="n">
        <x:v>0</x:v>
      </x:c>
      <x:c r="J33" s="18" t="n">
        <x:v>6</x:v>
      </x:c>
      <x:c r="K33" s="18" t="n">
        <x:f>E33*G33</x:f>
        <x:v>90</x:v>
      </x:c>
      <x:c r="L33" s="18" t="n">
        <x:f>K33*I33</x:f>
        <x:v>0</x:v>
      </x:c>
      <x:c r="M33" s="18" t="n">
        <x:f>(E33-F33)*G33*(1-I33)</x:f>
        <x:v>90</x:v>
      </x:c>
      <x:c r="N33" s="18" t="n">
        <x:f>(E33-F33)*H33</x:f>
        <x:v>42</x:v>
      </x:c>
      <x:c r="O33" s="18" t="n">
        <x:f>F33*J33</x:f>
        <x:v>0</x:v>
      </x:c>
      <x:c r="P33" s="18" t="n">
        <x:f>M33-N33-O33</x:f>
        <x:v>48</x:v>
      </x:c>
      <x:c r="Q33" s="1"/>
    </x:row>
    <x:row r="34" ht="23" customHeight="1">
      <x:c r="A34" s="14" t="str">
        <x:v>SIM-0030</x:v>
      </x:c>
      <x:c r="B34" s="14" t="str">
        <x:v>2026-01</x:v>
      </x:c>
      <x:c r="C34" s="14" t="str">
        <x:v>Accesorios</x:v>
      </x:c>
      <x:c r="D34" s="14" t="str">
        <x:v>Tienda</x:v>
      </x:c>
      <x:c r="E34" s="14" t="n">
        <x:v>3</x:v>
      </x:c>
      <x:c r="F34" s="14" t="n">
        <x:v>0</x:v>
      </x:c>
      <x:c r="G34" s="18" t="n">
        <x:v>30</x:v>
      </x:c>
      <x:c r="H34" s="18" t="n">
        <x:v>9</x:v>
      </x:c>
      <x:c r="I34" s="16" t="n">
        <x:v>0</x:v>
      </x:c>
      <x:c r="J34" s="18" t="n">
        <x:v>2</x:v>
      </x:c>
      <x:c r="K34" s="18" t="n">
        <x:f>E34*G34</x:f>
        <x:v>90</x:v>
      </x:c>
      <x:c r="L34" s="18" t="n">
        <x:f>K34*I34</x:f>
        <x:v>0</x:v>
      </x:c>
      <x:c r="M34" s="18" t="n">
        <x:f>(E34-F34)*G34*(1-I34)</x:f>
        <x:v>90</x:v>
      </x:c>
      <x:c r="N34" s="18" t="n">
        <x:f>(E34-F34)*H34</x:f>
        <x:v>27</x:v>
      </x:c>
      <x:c r="O34" s="18" t="n">
        <x:f>F34*J34</x:f>
        <x:v>0</x:v>
      </x:c>
      <x:c r="P34" s="18" t="n">
        <x:f>M34-N34-O34</x:f>
        <x:v>63</x:v>
      </x:c>
      <x:c r="Q34" s="1"/>
    </x:row>
    <x:row r="35" ht="23" customHeight="1">
      <x:c r="A35" s="14" t="str">
        <x:v>SIM-0031</x:v>
      </x:c>
      <x:c r="B35" s="14" t="str">
        <x:v>2026-01</x:v>
      </x:c>
      <x:c r="C35" s="14" t="str">
        <x:v>Prendas</x:v>
      </x:c>
      <x:c r="D35" s="14" t="str">
        <x:v>Tienda</x:v>
      </x:c>
      <x:c r="E35" s="14" t="n">
        <x:v>1</x:v>
      </x:c>
      <x:c r="F35" s="14" t="n">
        <x:v>0</x:v>
      </x:c>
      <x:c r="G35" s="18" t="n">
        <x:v>60</x:v>
      </x:c>
      <x:c r="H35" s="18" t="n">
        <x:v>24</x:v>
      </x:c>
      <x:c r="I35" s="16" t="n">
        <x:v>0.2</x:v>
      </x:c>
      <x:c r="J35" s="18" t="n">
        <x:v>2</x:v>
      </x:c>
      <x:c r="K35" s="18" t="n">
        <x:f>E35*G35</x:f>
        <x:v>60</x:v>
      </x:c>
      <x:c r="L35" s="18" t="n">
        <x:f>K35*I35</x:f>
        <x:v>12</x:v>
      </x:c>
      <x:c r="M35" s="18" t="n">
        <x:f>(E35-F35)*G35*(1-I35)</x:f>
        <x:v>48</x:v>
      </x:c>
      <x:c r="N35" s="18" t="n">
        <x:f>(E35-F35)*H35</x:f>
        <x:v>24</x:v>
      </x:c>
      <x:c r="O35" s="18" t="n">
        <x:f>F35*J35</x:f>
        <x:v>0</x:v>
      </x:c>
      <x:c r="P35" s="18" t="n">
        <x:f>M35-N35-O35</x:f>
        <x:v>24</x:v>
      </x:c>
      <x:c r="Q35" s="1"/>
    </x:row>
    <x:row r="36" ht="23" customHeight="1">
      <x:c r="A36" s="14" t="str">
        <x:v>SIM-0032</x:v>
      </x:c>
      <x:c r="B36" s="14" t="str">
        <x:v>2026-01</x:v>
      </x:c>
      <x:c r="C36" s="14" t="str">
        <x:v>Prendas</x:v>
      </x:c>
      <x:c r="D36" s="14" t="str">
        <x:v>Tienda</x:v>
      </x:c>
      <x:c r="E36" s="14" t="n">
        <x:v>2</x:v>
      </x:c>
      <x:c r="F36" s="14" t="n">
        <x:v>1</x:v>
      </x:c>
      <x:c r="G36" s="18" t="n">
        <x:v>60</x:v>
      </x:c>
      <x:c r="H36" s="18" t="n">
        <x:v>24</x:v>
      </x:c>
      <x:c r="I36" s="16" t="n">
        <x:v>0.2</x:v>
      </x:c>
      <x:c r="J36" s="18" t="n">
        <x:v>2</x:v>
      </x:c>
      <x:c r="K36" s="18" t="n">
        <x:f>E36*G36</x:f>
        <x:v>120</x:v>
      </x:c>
      <x:c r="L36" s="18" t="n">
        <x:f>K36*I36</x:f>
        <x:v>24</x:v>
      </x:c>
      <x:c r="M36" s="18" t="n">
        <x:f>(E36-F36)*G36*(1-I36)</x:f>
        <x:v>48</x:v>
      </x:c>
      <x:c r="N36" s="18" t="n">
        <x:f>(E36-F36)*H36</x:f>
        <x:v>24</x:v>
      </x:c>
      <x:c r="O36" s="18" t="n">
        <x:f>F36*J36</x:f>
        <x:v>2</x:v>
      </x:c>
      <x:c r="P36" s="18" t="n">
        <x:f>M36-N36-O36</x:f>
        <x:v>22</x:v>
      </x:c>
      <x:c r="Q36" s="1"/>
    </x:row>
    <x:row r="37" ht="23" customHeight="1">
      <x:c r="A37" s="14" t="str">
        <x:v>SIM-0033</x:v>
      </x:c>
      <x:c r="B37" s="14" t="str">
        <x:v>2026-01</x:v>
      </x:c>
      <x:c r="C37" s="14" t="str">
        <x:v>Calzado</x:v>
      </x:c>
      <x:c r="D37" s="14" t="str">
        <x:v>Tienda</x:v>
      </x:c>
      <x:c r="E37" s="14" t="n">
        <x:v>2</x:v>
      </x:c>
      <x:c r="F37" s="14" t="n">
        <x:v>0</x:v>
      </x:c>
      <x:c r="G37" s="18" t="n">
        <x:v>90</x:v>
      </x:c>
      <x:c r="H37" s="18" t="n">
        <x:v>42</x:v>
      </x:c>
      <x:c r="I37" s="16" t="n">
        <x:v>0</x:v>
      </x:c>
      <x:c r="J37" s="18" t="n">
        <x:v>2</x:v>
      </x:c>
      <x:c r="K37" s="18" t="n">
        <x:f>E37*G37</x:f>
        <x:v>180</x:v>
      </x:c>
      <x:c r="L37" s="18" t="n">
        <x:f>K37*I37</x:f>
        <x:v>0</x:v>
      </x:c>
      <x:c r="M37" s="18" t="n">
        <x:f>(E37-F37)*G37*(1-I37)</x:f>
        <x:v>180</x:v>
      </x:c>
      <x:c r="N37" s="18" t="n">
        <x:f>(E37-F37)*H37</x:f>
        <x:v>84</x:v>
      </x:c>
      <x:c r="O37" s="18" t="n">
        <x:f>F37*J37</x:f>
        <x:v>0</x:v>
      </x:c>
      <x:c r="P37" s="18" t="n">
        <x:f>M37-N37-O37</x:f>
        <x:v>96</x:v>
      </x:c>
      <x:c r="Q37" s="1"/>
    </x:row>
    <x:row r="38" ht="23" customHeight="1">
      <x:c r="A38" s="14" t="str">
        <x:v>SIM-0034</x:v>
      </x:c>
      <x:c r="B38" s="14" t="str">
        <x:v>2026-01</x:v>
      </x:c>
      <x:c r="C38" s="14" t="str">
        <x:v>Accesorios</x:v>
      </x:c>
      <x:c r="D38" s="14" t="str">
        <x:v>Tienda</x:v>
      </x:c>
      <x:c r="E38" s="14" t="n">
        <x:v>2</x:v>
      </x:c>
      <x:c r="F38" s="14" t="n">
        <x:v>0</x:v>
      </x:c>
      <x:c r="G38" s="18" t="n">
        <x:v>30</x:v>
      </x:c>
      <x:c r="H38" s="18" t="n">
        <x:v>9</x:v>
      </x:c>
      <x:c r="I38" s="16" t="n">
        <x:v>0.1</x:v>
      </x:c>
      <x:c r="J38" s="18" t="n">
        <x:v>2</x:v>
      </x:c>
      <x:c r="K38" s="18" t="n">
        <x:f>E38*G38</x:f>
        <x:v>60</x:v>
      </x:c>
      <x:c r="L38" s="18" t="n">
        <x:f>K38*I38</x:f>
        <x:v>6</x:v>
      </x:c>
      <x:c r="M38" s="18" t="n">
        <x:f>(E38-F38)*G38*(1-I38)</x:f>
        <x:v>54</x:v>
      </x:c>
      <x:c r="N38" s="18" t="n">
        <x:f>(E38-F38)*H38</x:f>
        <x:v>18</x:v>
      </x:c>
      <x:c r="O38" s="18" t="n">
        <x:f>F38*J38</x:f>
        <x:v>0</x:v>
      </x:c>
      <x:c r="P38" s="18" t="n">
        <x:f>M38-N38-O38</x:f>
        <x:v>36</x:v>
      </x:c>
      <x:c r="Q38" s="1"/>
    </x:row>
    <x:row r="39" ht="23" customHeight="1">
      <x:c r="A39" s="14" t="str">
        <x:v>SIM-0035</x:v>
      </x:c>
      <x:c r="B39" s="14" t="str">
        <x:v>2026-01</x:v>
      </x:c>
      <x:c r="C39" s="14" t="str">
        <x:v>Accesorios</x:v>
      </x:c>
      <x:c r="D39" s="14" t="str">
        <x:v>Tienda</x:v>
      </x:c>
      <x:c r="E39" s="14" t="n">
        <x:v>1</x:v>
      </x:c>
      <x:c r="F39" s="14" t="n">
        <x:v>1</x:v>
      </x:c>
      <x:c r="G39" s="18" t="n">
        <x:v>30</x:v>
      </x:c>
      <x:c r="H39" s="18" t="n">
        <x:v>9</x:v>
      </x:c>
      <x:c r="I39" s="16" t="n">
        <x:v>0</x:v>
      </x:c>
      <x:c r="J39" s="18" t="n">
        <x:v>2</x:v>
      </x:c>
      <x:c r="K39" s="18" t="n">
        <x:f>E39*G39</x:f>
        <x:v>30</x:v>
      </x:c>
      <x:c r="L39" s="18" t="n">
        <x:f>K39*I39</x:f>
        <x:v>0</x:v>
      </x:c>
      <x:c r="M39" s="18" t="n">
        <x:f>(E39-F39)*G39*(1-I39)</x:f>
        <x:v>0</x:v>
      </x:c>
      <x:c r="N39" s="18" t="n">
        <x:f>(E39-F39)*H39</x:f>
        <x:v>0</x:v>
      </x:c>
      <x:c r="O39" s="18" t="n">
        <x:f>F39*J39</x:f>
        <x:v>2</x:v>
      </x:c>
      <x:c r="P39" s="18" t="n">
        <x:f>M39-N39-O39</x:f>
        <x:v>-2</x:v>
      </x:c>
      <x:c r="Q39" s="1"/>
    </x:row>
    <x:row r="40" ht="23" customHeight="1">
      <x:c r="A40" s="14" t="str">
        <x:v>SIM-0036</x:v>
      </x:c>
      <x:c r="B40" s="14" t="str">
        <x:v>2026-01</x:v>
      </x:c>
      <x:c r="C40" s="14" t="str">
        <x:v>Prendas</x:v>
      </x:c>
      <x:c r="D40" s="14" t="str">
        <x:v>Online</x:v>
      </x:c>
      <x:c r="E40" s="14" t="n">
        <x:v>2</x:v>
      </x:c>
      <x:c r="F40" s="14" t="n">
        <x:v>0</x:v>
      </x:c>
      <x:c r="G40" s="18" t="n">
        <x:v>60</x:v>
      </x:c>
      <x:c r="H40" s="18" t="n">
        <x:v>24</x:v>
      </x:c>
      <x:c r="I40" s="16" t="n">
        <x:v>0.2</x:v>
      </x:c>
      <x:c r="J40" s="18" t="n">
        <x:v>6</x:v>
      </x:c>
      <x:c r="K40" s="18" t="n">
        <x:f>E40*G40</x:f>
        <x:v>120</x:v>
      </x:c>
      <x:c r="L40" s="18" t="n">
        <x:f>K40*I40</x:f>
        <x:v>24</x:v>
      </x:c>
      <x:c r="M40" s="18" t="n">
        <x:f>(E40-F40)*G40*(1-I40)</x:f>
        <x:v>96</x:v>
      </x:c>
      <x:c r="N40" s="18" t="n">
        <x:f>(E40-F40)*H40</x:f>
        <x:v>48</x:v>
      </x:c>
      <x:c r="O40" s="18" t="n">
        <x:f>F40*J40</x:f>
        <x:v>0</x:v>
      </x:c>
      <x:c r="P40" s="18" t="n">
        <x:f>M40-N40-O40</x:f>
        <x:v>48</x:v>
      </x:c>
      <x:c r="Q40" s="1"/>
    </x:row>
    <x:row r="41" ht="23" customHeight="1">
      <x:c r="A41" s="14" t="str">
        <x:v>SIM-0037</x:v>
      </x:c>
      <x:c r="B41" s="14" t="str">
        <x:v>2026-01</x:v>
      </x:c>
      <x:c r="C41" s="14" t="str">
        <x:v>Calzado</x:v>
      </x:c>
      <x:c r="D41" s="14" t="str">
        <x:v>Online</x:v>
      </x:c>
      <x:c r="E41" s="14" t="n">
        <x:v>1</x:v>
      </x:c>
      <x:c r="F41" s="14" t="n">
        <x:v>0</x:v>
      </x:c>
      <x:c r="G41" s="18" t="n">
        <x:v>90</x:v>
      </x:c>
      <x:c r="H41" s="18" t="n">
        <x:v>42</x:v>
      </x:c>
      <x:c r="I41" s="16" t="n">
        <x:v>0</x:v>
      </x:c>
      <x:c r="J41" s="18" t="n">
        <x:v>6</x:v>
      </x:c>
      <x:c r="K41" s="18" t="n">
        <x:f>E41*G41</x:f>
        <x:v>90</x:v>
      </x:c>
      <x:c r="L41" s="18" t="n">
        <x:f>K41*I41</x:f>
        <x:v>0</x:v>
      </x:c>
      <x:c r="M41" s="18" t="n">
        <x:f>(E41-F41)*G41*(1-I41)</x:f>
        <x:v>90</x:v>
      </x:c>
      <x:c r="N41" s="18" t="n">
        <x:f>(E41-F41)*H41</x:f>
        <x:v>42</x:v>
      </x:c>
      <x:c r="O41" s="18" t="n">
        <x:f>F41*J41</x:f>
        <x:v>0</x:v>
      </x:c>
      <x:c r="P41" s="18" t="n">
        <x:f>M41-N41-O41</x:f>
        <x:v>48</x:v>
      </x:c>
      <x:c r="Q41" s="1"/>
    </x:row>
    <x:row r="42" ht="23" customHeight="1">
      <x:c r="A42" s="14" t="str">
        <x:v>SIM-0038</x:v>
      </x:c>
      <x:c r="B42" s="14" t="str">
        <x:v>2026-01</x:v>
      </x:c>
      <x:c r="C42" s="14" t="str">
        <x:v>Prendas</x:v>
      </x:c>
      <x:c r="D42" s="14" t="str">
        <x:v>Tienda</x:v>
      </x:c>
      <x:c r="E42" s="14" t="n">
        <x:v>1</x:v>
      </x:c>
      <x:c r="F42" s="14" t="n">
        <x:v>0</x:v>
      </x:c>
      <x:c r="G42" s="18" t="n">
        <x:v>60</x:v>
      </x:c>
      <x:c r="H42" s="18" t="n">
        <x:v>24</x:v>
      </x:c>
      <x:c r="I42" s="16" t="n">
        <x:v>0</x:v>
      </x:c>
      <x:c r="J42" s="18" t="n">
        <x:v>2</x:v>
      </x:c>
      <x:c r="K42" s="18" t="n">
        <x:f>E42*G42</x:f>
        <x:v>60</x:v>
      </x:c>
      <x:c r="L42" s="18" t="n">
        <x:f>K42*I42</x:f>
        <x:v>0</x:v>
      </x:c>
      <x:c r="M42" s="18" t="n">
        <x:f>(E42-F42)*G42*(1-I42)</x:f>
        <x:v>60</x:v>
      </x:c>
      <x:c r="N42" s="18" t="n">
        <x:f>(E42-F42)*H42</x:f>
        <x:v>24</x:v>
      </x:c>
      <x:c r="O42" s="18" t="n">
        <x:f>F42*J42</x:f>
        <x:v>0</x:v>
      </x:c>
      <x:c r="P42" s="18" t="n">
        <x:f>M42-N42-O42</x:f>
        <x:v>36</x:v>
      </x:c>
      <x:c r="Q42" s="1"/>
    </x:row>
    <x:row r="43" ht="23" customHeight="1">
      <x:c r="A43" s="14" t="str">
        <x:v>SIM-0039</x:v>
      </x:c>
      <x:c r="B43" s="14" t="str">
        <x:v>2026-01</x:v>
      </x:c>
      <x:c r="C43" s="14" t="str">
        <x:v>Calzado</x:v>
      </x:c>
      <x:c r="D43" s="14" t="str">
        <x:v>Online</x:v>
      </x:c>
      <x:c r="E43" s="14" t="n">
        <x:v>1</x:v>
      </x:c>
      <x:c r="F43" s="14" t="n">
        <x:v>0</x:v>
      </x:c>
      <x:c r="G43" s="18" t="n">
        <x:v>90</x:v>
      </x:c>
      <x:c r="H43" s="18" t="n">
        <x:v>42</x:v>
      </x:c>
      <x:c r="I43" s="16" t="n">
        <x:v>0</x:v>
      </x:c>
      <x:c r="J43" s="18" t="n">
        <x:v>6</x:v>
      </x:c>
      <x:c r="K43" s="18" t="n">
        <x:f>E43*G43</x:f>
        <x:v>90</x:v>
      </x:c>
      <x:c r="L43" s="18" t="n">
        <x:f>K43*I43</x:f>
        <x:v>0</x:v>
      </x:c>
      <x:c r="M43" s="18" t="n">
        <x:f>(E43-F43)*G43*(1-I43)</x:f>
        <x:v>90</x:v>
      </x:c>
      <x:c r="N43" s="18" t="n">
        <x:f>(E43-F43)*H43</x:f>
        <x:v>42</x:v>
      </x:c>
      <x:c r="O43" s="18" t="n">
        <x:f>F43*J43</x:f>
        <x:v>0</x:v>
      </x:c>
      <x:c r="P43" s="18" t="n">
        <x:f>M43-N43-O43</x:f>
        <x:v>48</x:v>
      </x:c>
      <x:c r="Q43" s="1"/>
    </x:row>
    <x:row r="44" ht="23" customHeight="1">
      <x:c r="A44" s="14" t="str">
        <x:v>SIM-0040</x:v>
      </x:c>
      <x:c r="B44" s="14" t="str">
        <x:v>2026-01</x:v>
      </x:c>
      <x:c r="C44" s="14" t="str">
        <x:v>Accesorios</x:v>
      </x:c>
      <x:c r="D44" s="14" t="str">
        <x:v>Tienda</x:v>
      </x:c>
      <x:c r="E44" s="14" t="n">
        <x:v>1</x:v>
      </x:c>
      <x:c r="F44" s="14" t="n">
        <x:v>0</x:v>
      </x:c>
      <x:c r="G44" s="18" t="n">
        <x:v>30</x:v>
      </x:c>
      <x:c r="H44" s="18" t="n">
        <x:v>9</x:v>
      </x:c>
      <x:c r="I44" s="16" t="n">
        <x:v>0.1</x:v>
      </x:c>
      <x:c r="J44" s="18" t="n">
        <x:v>2</x:v>
      </x:c>
      <x:c r="K44" s="18" t="n">
        <x:f>E44*G44</x:f>
        <x:v>30</x:v>
      </x:c>
      <x:c r="L44" s="18" t="n">
        <x:f>K44*I44</x:f>
        <x:v>3</x:v>
      </x:c>
      <x:c r="M44" s="18" t="n">
        <x:f>(E44-F44)*G44*(1-I44)</x:f>
        <x:v>27</x:v>
      </x:c>
      <x:c r="N44" s="18" t="n">
        <x:f>(E44-F44)*H44</x:f>
        <x:v>9</x:v>
      </x:c>
      <x:c r="O44" s="18" t="n">
        <x:f>F44*J44</x:f>
        <x:v>0</x:v>
      </x:c>
      <x:c r="P44" s="18" t="n">
        <x:f>M44-N44-O44</x:f>
        <x:v>18</x:v>
      </x:c>
      <x:c r="Q44" s="1"/>
    </x:row>
    <x:row r="45" ht="23" customHeight="1">
      <x:c r="A45" s="14" t="str">
        <x:v>SIM-0041</x:v>
      </x:c>
      <x:c r="B45" s="14" t="str">
        <x:v>2026-01</x:v>
      </x:c>
      <x:c r="C45" s="14" t="str">
        <x:v>Accesorios</x:v>
      </x:c>
      <x:c r="D45" s="14" t="str">
        <x:v>Online</x:v>
      </x:c>
      <x:c r="E45" s="14" t="n">
        <x:v>1</x:v>
      </x:c>
      <x:c r="F45" s="14" t="n">
        <x:v>0</x:v>
      </x:c>
      <x:c r="G45" s="18" t="n">
        <x:v>30</x:v>
      </x:c>
      <x:c r="H45" s="18" t="n">
        <x:v>9</x:v>
      </x:c>
      <x:c r="I45" s="16" t="n">
        <x:v>0</x:v>
      </x:c>
      <x:c r="J45" s="18" t="n">
        <x:v>6</x:v>
      </x:c>
      <x:c r="K45" s="18" t="n">
        <x:f>E45*G45</x:f>
        <x:v>30</x:v>
      </x:c>
      <x:c r="L45" s="18" t="n">
        <x:f>K45*I45</x:f>
        <x:v>0</x:v>
      </x:c>
      <x:c r="M45" s="18" t="n">
        <x:f>(E45-F45)*G45*(1-I45)</x:f>
        <x:v>30</x:v>
      </x:c>
      <x:c r="N45" s="18" t="n">
        <x:f>(E45-F45)*H45</x:f>
        <x:v>9</x:v>
      </x:c>
      <x:c r="O45" s="18" t="n">
        <x:f>F45*J45</x:f>
        <x:v>0</x:v>
      </x:c>
      <x:c r="P45" s="18" t="n">
        <x:f>M45-N45-O45</x:f>
        <x:v>21</x:v>
      </x:c>
      <x:c r="Q45" s="1"/>
    </x:row>
    <x:row r="46" ht="23" customHeight="1">
      <x:c r="A46" s="14" t="str">
        <x:v>SIM-0042</x:v>
      </x:c>
      <x:c r="B46" s="14" t="str">
        <x:v>2026-01</x:v>
      </x:c>
      <x:c r="C46" s="14" t="str">
        <x:v>Calzado</x:v>
      </x:c>
      <x:c r="D46" s="14" t="str">
        <x:v>Online</x:v>
      </x:c>
      <x:c r="E46" s="14" t="n">
        <x:v>1</x:v>
      </x:c>
      <x:c r="F46" s="14" t="n">
        <x:v>0</x:v>
      </x:c>
      <x:c r="G46" s="18" t="n">
        <x:v>90</x:v>
      </x:c>
      <x:c r="H46" s="18" t="n">
        <x:v>42</x:v>
      </x:c>
      <x:c r="I46" s="16" t="n">
        <x:v>0</x:v>
      </x:c>
      <x:c r="J46" s="18" t="n">
        <x:v>6</x:v>
      </x:c>
      <x:c r="K46" s="18" t="n">
        <x:f>E46*G46</x:f>
        <x:v>90</x:v>
      </x:c>
      <x:c r="L46" s="18" t="n">
        <x:f>K46*I46</x:f>
        <x:v>0</x:v>
      </x:c>
      <x:c r="M46" s="18" t="n">
        <x:f>(E46-F46)*G46*(1-I46)</x:f>
        <x:v>90</x:v>
      </x:c>
      <x:c r="N46" s="18" t="n">
        <x:f>(E46-F46)*H46</x:f>
        <x:v>42</x:v>
      </x:c>
      <x:c r="O46" s="18" t="n">
        <x:f>F46*J46</x:f>
        <x:v>0</x:v>
      </x:c>
      <x:c r="P46" s="18" t="n">
        <x:f>M46-N46-O46</x:f>
        <x:v>48</x:v>
      </x:c>
      <x:c r="Q46" s="1"/>
    </x:row>
    <x:row r="47" ht="23" customHeight="1">
      <x:c r="A47" s="14" t="str">
        <x:v>SIM-0043</x:v>
      </x:c>
      <x:c r="B47" s="14" t="str">
        <x:v>2026-01</x:v>
      </x:c>
      <x:c r="C47" s="14" t="str">
        <x:v>Calzado</x:v>
      </x:c>
      <x:c r="D47" s="14" t="str">
        <x:v>Tienda</x:v>
      </x:c>
      <x:c r="E47" s="14" t="n">
        <x:v>2</x:v>
      </x:c>
      <x:c r="F47" s="14" t="n">
        <x:v>1</x:v>
      </x:c>
      <x:c r="G47" s="18" t="n">
        <x:v>90</x:v>
      </x:c>
      <x:c r="H47" s="18" t="n">
        <x:v>42</x:v>
      </x:c>
      <x:c r="I47" s="16" t="n">
        <x:v>0.1</x:v>
      </x:c>
      <x:c r="J47" s="18" t="n">
        <x:v>2</x:v>
      </x:c>
      <x:c r="K47" s="18" t="n">
        <x:f>E47*G47</x:f>
        <x:v>180</x:v>
      </x:c>
      <x:c r="L47" s="18" t="n">
        <x:f>K47*I47</x:f>
        <x:v>18</x:v>
      </x:c>
      <x:c r="M47" s="18" t="n">
        <x:f>(E47-F47)*G47*(1-I47)</x:f>
        <x:v>81</x:v>
      </x:c>
      <x:c r="N47" s="18" t="n">
        <x:f>(E47-F47)*H47</x:f>
        <x:v>42</x:v>
      </x:c>
      <x:c r="O47" s="18" t="n">
        <x:f>F47*J47</x:f>
        <x:v>2</x:v>
      </x:c>
      <x:c r="P47" s="18" t="n">
        <x:f>M47-N47-O47</x:f>
        <x:v>37</x:v>
      </x:c>
      <x:c r="Q47" s="1"/>
    </x:row>
    <x:row r="48" ht="23" customHeight="1">
      <x:c r="A48" s="14" t="str">
        <x:v>SIM-0044</x:v>
      </x:c>
      <x:c r="B48" s="14" t="str">
        <x:v>2026-01</x:v>
      </x:c>
      <x:c r="C48" s="14" t="str">
        <x:v>Calzado</x:v>
      </x:c>
      <x:c r="D48" s="14" t="str">
        <x:v>Online</x:v>
      </x:c>
      <x:c r="E48" s="14" t="n">
        <x:v>1</x:v>
      </x:c>
      <x:c r="F48" s="14" t="n">
        <x:v>0</x:v>
      </x:c>
      <x:c r="G48" s="18" t="n">
        <x:v>90</x:v>
      </x:c>
      <x:c r="H48" s="18" t="n">
        <x:v>42</x:v>
      </x:c>
      <x:c r="I48" s="16" t="n">
        <x:v>0</x:v>
      </x:c>
      <x:c r="J48" s="18" t="n">
        <x:v>6</x:v>
      </x:c>
      <x:c r="K48" s="18" t="n">
        <x:f>E48*G48</x:f>
        <x:v>90</x:v>
      </x:c>
      <x:c r="L48" s="18" t="n">
        <x:f>K48*I48</x:f>
        <x:v>0</x:v>
      </x:c>
      <x:c r="M48" s="18" t="n">
        <x:f>(E48-F48)*G48*(1-I48)</x:f>
        <x:v>90</x:v>
      </x:c>
      <x:c r="N48" s="18" t="n">
        <x:f>(E48-F48)*H48</x:f>
        <x:v>42</x:v>
      </x:c>
      <x:c r="O48" s="18" t="n">
        <x:f>F48*J48</x:f>
        <x:v>0</x:v>
      </x:c>
      <x:c r="P48" s="18" t="n">
        <x:f>M48-N48-O48</x:f>
        <x:v>48</x:v>
      </x:c>
      <x:c r="Q48" s="1"/>
    </x:row>
    <x:row r="49" ht="23" customHeight="1">
      <x:c r="A49" s="14" t="str">
        <x:v>SIM-0045</x:v>
      </x:c>
      <x:c r="B49" s="14" t="str">
        <x:v>2026-01</x:v>
      </x:c>
      <x:c r="C49" s="14" t="str">
        <x:v>Prendas</x:v>
      </x:c>
      <x:c r="D49" s="14" t="str">
        <x:v>Online</x:v>
      </x:c>
      <x:c r="E49" s="14" t="n">
        <x:v>1</x:v>
      </x:c>
      <x:c r="F49" s="14" t="n">
        <x:v>0</x:v>
      </x:c>
      <x:c r="G49" s="18" t="n">
        <x:v>60</x:v>
      </x:c>
      <x:c r="H49" s="18" t="n">
        <x:v>24</x:v>
      </x:c>
      <x:c r="I49" s="16" t="n">
        <x:v>0.2</x:v>
      </x:c>
      <x:c r="J49" s="18" t="n">
        <x:v>6</x:v>
      </x:c>
      <x:c r="K49" s="18" t="n">
        <x:f>E49*G49</x:f>
        <x:v>60</x:v>
      </x:c>
      <x:c r="L49" s="18" t="n">
        <x:f>K49*I49</x:f>
        <x:v>12</x:v>
      </x:c>
      <x:c r="M49" s="18" t="n">
        <x:f>(E49-F49)*G49*(1-I49)</x:f>
        <x:v>48</x:v>
      </x:c>
      <x:c r="N49" s="18" t="n">
        <x:f>(E49-F49)*H49</x:f>
        <x:v>24</x:v>
      </x:c>
      <x:c r="O49" s="18" t="n">
        <x:f>F49*J49</x:f>
        <x:v>0</x:v>
      </x:c>
      <x:c r="P49" s="18" t="n">
        <x:f>M49-N49-O49</x:f>
        <x:v>24</x:v>
      </x:c>
      <x:c r="Q49" s="1"/>
    </x:row>
    <x:row r="50" ht="23" customHeight="1">
      <x:c r="A50" s="14" t="str">
        <x:v>SIM-0046</x:v>
      </x:c>
      <x:c r="B50" s="14" t="str">
        <x:v>2026-01</x:v>
      </x:c>
      <x:c r="C50" s="14" t="str">
        <x:v>Calzado</x:v>
      </x:c>
      <x:c r="D50" s="14" t="str">
        <x:v>Tienda</x:v>
      </x:c>
      <x:c r="E50" s="14" t="n">
        <x:v>1</x:v>
      </x:c>
      <x:c r="F50" s="14" t="n">
        <x:v>0</x:v>
      </x:c>
      <x:c r="G50" s="18" t="n">
        <x:v>90</x:v>
      </x:c>
      <x:c r="H50" s="18" t="n">
        <x:v>42</x:v>
      </x:c>
      <x:c r="I50" s="16" t="n">
        <x:v>0</x:v>
      </x:c>
      <x:c r="J50" s="18" t="n">
        <x:v>2</x:v>
      </x:c>
      <x:c r="K50" s="18" t="n">
        <x:f>E50*G50</x:f>
        <x:v>90</x:v>
      </x:c>
      <x:c r="L50" s="18" t="n">
        <x:f>K50*I50</x:f>
        <x:v>0</x:v>
      </x:c>
      <x:c r="M50" s="18" t="n">
        <x:f>(E50-F50)*G50*(1-I50)</x:f>
        <x:v>90</x:v>
      </x:c>
      <x:c r="N50" s="18" t="n">
        <x:f>(E50-F50)*H50</x:f>
        <x:v>42</x:v>
      </x:c>
      <x:c r="O50" s="18" t="n">
        <x:f>F50*J50</x:f>
        <x:v>0</x:v>
      </x:c>
      <x:c r="P50" s="18" t="n">
        <x:f>M50-N50-O50</x:f>
        <x:v>48</x:v>
      </x:c>
      <x:c r="Q50" s="1"/>
    </x:row>
    <x:row r="51" ht="23" customHeight="1">
      <x:c r="A51" s="14" t="str">
        <x:v>SIM-0047</x:v>
      </x:c>
      <x:c r="B51" s="14" t="str">
        <x:v>2026-01</x:v>
      </x:c>
      <x:c r="C51" s="14" t="str">
        <x:v>Prendas</x:v>
      </x:c>
      <x:c r="D51" s="14" t="str">
        <x:v>Online</x:v>
      </x:c>
      <x:c r="E51" s="14" t="n">
        <x:v>2</x:v>
      </x:c>
      <x:c r="F51" s="14" t="n">
        <x:v>1</x:v>
      </x:c>
      <x:c r="G51" s="18" t="n">
        <x:v>60</x:v>
      </x:c>
      <x:c r="H51" s="18" t="n">
        <x:v>24</x:v>
      </x:c>
      <x:c r="I51" s="16" t="n">
        <x:v>0.1</x:v>
      </x:c>
      <x:c r="J51" s="18" t="n">
        <x:v>6</x:v>
      </x:c>
      <x:c r="K51" s="18" t="n">
        <x:f>E51*G51</x:f>
        <x:v>120</x:v>
      </x:c>
      <x:c r="L51" s="18" t="n">
        <x:f>K51*I51</x:f>
        <x:v>12</x:v>
      </x:c>
      <x:c r="M51" s="18" t="n">
        <x:f>(E51-F51)*G51*(1-I51)</x:f>
        <x:v>54</x:v>
      </x:c>
      <x:c r="N51" s="18" t="n">
        <x:f>(E51-F51)*H51</x:f>
        <x:v>24</x:v>
      </x:c>
      <x:c r="O51" s="18" t="n">
        <x:f>F51*J51</x:f>
        <x:v>6</x:v>
      </x:c>
      <x:c r="P51" s="18" t="n">
        <x:f>M51-N51-O51</x:f>
        <x:v>24</x:v>
      </x:c>
      <x:c r="Q51" s="1"/>
    </x:row>
    <x:row r="52" ht="23" customHeight="1">
      <x:c r="A52" s="14" t="str">
        <x:v>SIM-0048</x:v>
      </x:c>
      <x:c r="B52" s="14" t="str">
        <x:v>2026-01</x:v>
      </x:c>
      <x:c r="C52" s="14" t="str">
        <x:v>Calzado</x:v>
      </x:c>
      <x:c r="D52" s="14" t="str">
        <x:v>Online</x:v>
      </x:c>
      <x:c r="E52" s="14" t="n">
        <x:v>1</x:v>
      </x:c>
      <x:c r="F52" s="14" t="n">
        <x:v>1</x:v>
      </x:c>
      <x:c r="G52" s="18" t="n">
        <x:v>90</x:v>
      </x:c>
      <x:c r="H52" s="18" t="n">
        <x:v>42</x:v>
      </x:c>
      <x:c r="I52" s="16" t="n">
        <x:v>0.1</x:v>
      </x:c>
      <x:c r="J52" s="18" t="n">
        <x:v>6</x:v>
      </x:c>
      <x:c r="K52" s="18" t="n">
        <x:f>E52*G52</x:f>
        <x:v>90</x:v>
      </x:c>
      <x:c r="L52" s="18" t="n">
        <x:f>K52*I52</x:f>
        <x:v>9</x:v>
      </x:c>
      <x:c r="M52" s="18" t="n">
        <x:f>(E52-F52)*G52*(1-I52)</x:f>
        <x:v>0</x:v>
      </x:c>
      <x:c r="N52" s="18" t="n">
        <x:f>(E52-F52)*H52</x:f>
        <x:v>0</x:v>
      </x:c>
      <x:c r="O52" s="18" t="n">
        <x:f>F52*J52</x:f>
        <x:v>6</x:v>
      </x:c>
      <x:c r="P52" s="18" t="n">
        <x:f>M52-N52-O52</x:f>
        <x:v>-6</x:v>
      </x:c>
      <x:c r="Q52" s="1"/>
    </x:row>
    <x:row r="53" ht="23" customHeight="1">
      <x:c r="A53" s="14" t="str">
        <x:v>SIM-0049</x:v>
      </x:c>
      <x:c r="B53" s="14" t="str">
        <x:v>2026-01</x:v>
      </x:c>
      <x:c r="C53" s="14" t="str">
        <x:v>Accesorios</x:v>
      </x:c>
      <x:c r="D53" s="14" t="str">
        <x:v>Online</x:v>
      </x:c>
      <x:c r="E53" s="14" t="n">
        <x:v>1</x:v>
      </x:c>
      <x:c r="F53" s="14" t="n">
        <x:v>0</x:v>
      </x:c>
      <x:c r="G53" s="18" t="n">
        <x:v>30</x:v>
      </x:c>
      <x:c r="H53" s="18" t="n">
        <x:v>9</x:v>
      </x:c>
      <x:c r="I53" s="16" t="n">
        <x:v>0</x:v>
      </x:c>
      <x:c r="J53" s="18" t="n">
        <x:v>6</x:v>
      </x:c>
      <x:c r="K53" s="18" t="n">
        <x:f>E53*G53</x:f>
        <x:v>30</x:v>
      </x:c>
      <x:c r="L53" s="18" t="n">
        <x:f>K53*I53</x:f>
        <x:v>0</x:v>
      </x:c>
      <x:c r="M53" s="18" t="n">
        <x:f>(E53-F53)*G53*(1-I53)</x:f>
        <x:v>30</x:v>
      </x:c>
      <x:c r="N53" s="18" t="n">
        <x:f>(E53-F53)*H53</x:f>
        <x:v>9</x:v>
      </x:c>
      <x:c r="O53" s="18" t="n">
        <x:f>F53*J53</x:f>
        <x:v>0</x:v>
      </x:c>
      <x:c r="P53" s="18" t="n">
        <x:f>M53-N53-O53</x:f>
        <x:v>21</x:v>
      </x:c>
      <x:c r="Q53" s="1"/>
    </x:row>
    <x:row r="54" ht="23" customHeight="1">
      <x:c r="A54" s="14" t="str">
        <x:v>SIM-0050</x:v>
      </x:c>
      <x:c r="B54" s="14" t="str">
        <x:v>2026-01</x:v>
      </x:c>
      <x:c r="C54" s="14" t="str">
        <x:v>Prendas</x:v>
      </x:c>
      <x:c r="D54" s="14" t="str">
        <x:v>Tienda</x:v>
      </x:c>
      <x:c r="E54" s="14" t="n">
        <x:v>1</x:v>
      </x:c>
      <x:c r="F54" s="14" t="n">
        <x:v>0</x:v>
      </x:c>
      <x:c r="G54" s="18" t="n">
        <x:v>60</x:v>
      </x:c>
      <x:c r="H54" s="18" t="n">
        <x:v>24</x:v>
      </x:c>
      <x:c r="I54" s="16" t="n">
        <x:v>0.2</x:v>
      </x:c>
      <x:c r="J54" s="18" t="n">
        <x:v>2</x:v>
      </x:c>
      <x:c r="K54" s="18" t="n">
        <x:f>E54*G54</x:f>
        <x:v>60</x:v>
      </x:c>
      <x:c r="L54" s="18" t="n">
        <x:f>K54*I54</x:f>
        <x:v>12</x:v>
      </x:c>
      <x:c r="M54" s="18" t="n">
        <x:f>(E54-F54)*G54*(1-I54)</x:f>
        <x:v>48</x:v>
      </x:c>
      <x:c r="N54" s="18" t="n">
        <x:f>(E54-F54)*H54</x:f>
        <x:v>24</x:v>
      </x:c>
      <x:c r="O54" s="18" t="n">
        <x:f>F54*J54</x:f>
        <x:v>0</x:v>
      </x:c>
      <x:c r="P54" s="18" t="n">
        <x:f>M54-N54-O54</x:f>
        <x:v>24</x:v>
      </x:c>
      <x:c r="Q54" s="1"/>
    </x:row>
    <x:row r="55" ht="23" customHeight="1">
      <x:c r="A55" s="14" t="str">
        <x:v>SIM-0051</x:v>
      </x:c>
      <x:c r="B55" s="14" t="str">
        <x:v>2026-01</x:v>
      </x:c>
      <x:c r="C55" s="14" t="str">
        <x:v>Prendas</x:v>
      </x:c>
      <x:c r="D55" s="14" t="str">
        <x:v>Online</x:v>
      </x:c>
      <x:c r="E55" s="14" t="n">
        <x:v>1</x:v>
      </x:c>
      <x:c r="F55" s="14" t="n">
        <x:v>0</x:v>
      </x:c>
      <x:c r="G55" s="18" t="n">
        <x:v>60</x:v>
      </x:c>
      <x:c r="H55" s="18" t="n">
        <x:v>24</x:v>
      </x:c>
      <x:c r="I55" s="16" t="n">
        <x:v>0</x:v>
      </x:c>
      <x:c r="J55" s="18" t="n">
        <x:v>6</x:v>
      </x:c>
      <x:c r="K55" s="18" t="n">
        <x:f>E55*G55</x:f>
        <x:v>60</x:v>
      </x:c>
      <x:c r="L55" s="18" t="n">
        <x:f>K55*I55</x:f>
        <x:v>0</x:v>
      </x:c>
      <x:c r="M55" s="18" t="n">
        <x:f>(E55-F55)*G55*(1-I55)</x:f>
        <x:v>60</x:v>
      </x:c>
      <x:c r="N55" s="18" t="n">
        <x:f>(E55-F55)*H55</x:f>
        <x:v>24</x:v>
      </x:c>
      <x:c r="O55" s="18" t="n">
        <x:f>F55*J55</x:f>
        <x:v>0</x:v>
      </x:c>
      <x:c r="P55" s="18" t="n">
        <x:f>M55-N55-O55</x:f>
        <x:v>36</x:v>
      </x:c>
      <x:c r="Q55" s="1"/>
    </x:row>
    <x:row r="56">
      <x:c r="A56" s="15" t="str">
        <x:v>SIM-0052</x:v>
      </x:c>
      <x:c r="B56" s="15" t="str">
        <x:v>2026-01</x:v>
      </x:c>
      <x:c r="C56" s="15" t="str">
        <x:v>Prendas</x:v>
      </x:c>
      <x:c r="D56" s="15" t="str">
        <x:v>Tienda</x:v>
      </x:c>
      <x:c r="E56" s="15" t="n">
        <x:v>1</x:v>
      </x:c>
      <x:c r="F56" s="15" t="n">
        <x:v>0</x:v>
      </x:c>
      <x:c r="G56" s="19" t="n">
        <x:v>60</x:v>
      </x:c>
      <x:c r="H56" s="19" t="n">
        <x:v>24</x:v>
      </x:c>
      <x:c r="I56" s="17" t="n">
        <x:v>0.3</x:v>
      </x:c>
      <x:c r="J56" s="19" t="n">
        <x:v>2</x:v>
      </x:c>
      <x:c r="K56" s="19" t="n">
        <x:f>E56*G56</x:f>
        <x:v>60</x:v>
      </x:c>
      <x:c r="L56" s="19" t="n">
        <x:f>K56*I56</x:f>
        <x:v>18</x:v>
      </x:c>
      <x:c r="M56" s="19" t="n">
        <x:f>(E56-F56)*G56*(1-I56)</x:f>
        <x:v>42</x:v>
      </x:c>
      <x:c r="N56" s="19" t="n">
        <x:f>(E56-F56)*H56</x:f>
        <x:v>24</x:v>
      </x:c>
      <x:c r="O56" s="19" t="n">
        <x:f>F56*J56</x:f>
        <x:v>0</x:v>
      </x:c>
      <x:c r="P56" s="19" t="n">
        <x:f>M56-N56-O56</x:f>
        <x:v>18</x:v>
      </x:c>
    </x:row>
    <x:row r="57">
      <x:c r="A57" s="15" t="str">
        <x:v>SIM-0053</x:v>
      </x:c>
      <x:c r="B57" s="15" t="str">
        <x:v>2026-01</x:v>
      </x:c>
      <x:c r="C57" s="15" t="str">
        <x:v>Prendas</x:v>
      </x:c>
      <x:c r="D57" s="15" t="str">
        <x:v>Online</x:v>
      </x:c>
      <x:c r="E57" s="15" t="n">
        <x:v>1</x:v>
      </x:c>
      <x:c r="F57" s="15" t="n">
        <x:v>0</x:v>
      </x:c>
      <x:c r="G57" s="19" t="n">
        <x:v>60</x:v>
      </x:c>
      <x:c r="H57" s="19" t="n">
        <x:v>24</x:v>
      </x:c>
      <x:c r="I57" s="17" t="n">
        <x:v>0.1</x:v>
      </x:c>
      <x:c r="J57" s="19" t="n">
        <x:v>6</x:v>
      </x:c>
      <x:c r="K57" s="19" t="n">
        <x:f>E57*G57</x:f>
        <x:v>60</x:v>
      </x:c>
      <x:c r="L57" s="19" t="n">
        <x:f>K57*I57</x:f>
        <x:v>6</x:v>
      </x:c>
      <x:c r="M57" s="19" t="n">
        <x:f>(E57-F57)*G57*(1-I57)</x:f>
        <x:v>54</x:v>
      </x:c>
      <x:c r="N57" s="19" t="n">
        <x:f>(E57-F57)*H57</x:f>
        <x:v>24</x:v>
      </x:c>
      <x:c r="O57" s="19" t="n">
        <x:f>F57*J57</x:f>
        <x:v>0</x:v>
      </x:c>
      <x:c r="P57" s="19" t="n">
        <x:f>M57-N57-O57</x:f>
        <x:v>30</x:v>
      </x:c>
    </x:row>
    <x:row r="58">
      <x:c r="A58" s="15" t="str">
        <x:v>SIM-0054</x:v>
      </x:c>
      <x:c r="B58" s="15" t="str">
        <x:v>2026-01</x:v>
      </x:c>
      <x:c r="C58" s="15" t="str">
        <x:v>Calzado</x:v>
      </x:c>
      <x:c r="D58" s="15" t="str">
        <x:v>Online</x:v>
      </x:c>
      <x:c r="E58" s="15" t="n">
        <x:v>1</x:v>
      </x:c>
      <x:c r="F58" s="15" t="n">
        <x:v>0</x:v>
      </x:c>
      <x:c r="G58" s="19" t="n">
        <x:v>90</x:v>
      </x:c>
      <x:c r="H58" s="19" t="n">
        <x:v>42</x:v>
      </x:c>
      <x:c r="I58" s="17" t="n">
        <x:v>0.3</x:v>
      </x:c>
      <x:c r="J58" s="19" t="n">
        <x:v>6</x:v>
      </x:c>
      <x:c r="K58" s="19" t="n">
        <x:f>E58*G58</x:f>
        <x:v>90</x:v>
      </x:c>
      <x:c r="L58" s="19" t="n">
        <x:f>K58*I58</x:f>
        <x:v>27</x:v>
      </x:c>
      <x:c r="M58" s="19" t="n">
        <x:f>(E58-F58)*G58*(1-I58)</x:f>
        <x:v>62.99999999999999</x:v>
      </x:c>
      <x:c r="N58" s="19" t="n">
        <x:f>(E58-F58)*H58</x:f>
        <x:v>42</x:v>
      </x:c>
      <x:c r="O58" s="19" t="n">
        <x:f>F58*J58</x:f>
        <x:v>0</x:v>
      </x:c>
      <x:c r="P58" s="19" t="n">
        <x:f>M58-N58-O58</x:f>
        <x:v>20.999999999999993</x:v>
      </x:c>
    </x:row>
    <x:row r="59">
      <x:c r="A59" s="15" t="str">
        <x:v>SIM-0055</x:v>
      </x:c>
      <x:c r="B59" s="15" t="str">
        <x:v>2026-01</x:v>
      </x:c>
      <x:c r="C59" s="15" t="str">
        <x:v>Calzado</x:v>
      </x:c>
      <x:c r="D59" s="15" t="str">
        <x:v>Tienda</x:v>
      </x:c>
      <x:c r="E59" s="15" t="n">
        <x:v>1</x:v>
      </x:c>
      <x:c r="F59" s="15" t="n">
        <x:v>0</x:v>
      </x:c>
      <x:c r="G59" s="19" t="n">
        <x:v>90</x:v>
      </x:c>
      <x:c r="H59" s="19" t="n">
        <x:v>42</x:v>
      </x:c>
      <x:c r="I59" s="17" t="n">
        <x:v>0.2</x:v>
      </x:c>
      <x:c r="J59" s="19" t="n">
        <x:v>2</x:v>
      </x:c>
      <x:c r="K59" s="19" t="n">
        <x:f>E59*G59</x:f>
        <x:v>90</x:v>
      </x:c>
      <x:c r="L59" s="19" t="n">
        <x:f>K59*I59</x:f>
        <x:v>18</x:v>
      </x:c>
      <x:c r="M59" s="19" t="n">
        <x:f>(E59-F59)*G59*(1-I59)</x:f>
        <x:v>72</x:v>
      </x:c>
      <x:c r="N59" s="19" t="n">
        <x:f>(E59-F59)*H59</x:f>
        <x:v>42</x:v>
      </x:c>
      <x:c r="O59" s="19" t="n">
        <x:f>F59*J59</x:f>
        <x:v>0</x:v>
      </x:c>
      <x:c r="P59" s="19" t="n">
        <x:f>M59-N59-O59</x:f>
        <x:v>30</x:v>
      </x:c>
    </x:row>
    <x:row r="60">
      <x:c r="A60" s="15" t="str">
        <x:v>SIM-0056</x:v>
      </x:c>
      <x:c r="B60" s="15" t="str">
        <x:v>2026-01</x:v>
      </x:c>
      <x:c r="C60" s="15" t="str">
        <x:v>Prendas</x:v>
      </x:c>
      <x:c r="D60" s="15" t="str">
        <x:v>Tienda</x:v>
      </x:c>
      <x:c r="E60" s="15" t="n">
        <x:v>1</x:v>
      </x:c>
      <x:c r="F60" s="15" t="n">
        <x:v>0</x:v>
      </x:c>
      <x:c r="G60" s="19" t="n">
        <x:v>60</x:v>
      </x:c>
      <x:c r="H60" s="19" t="n">
        <x:v>24</x:v>
      </x:c>
      <x:c r="I60" s="17" t="n">
        <x:v>0</x:v>
      </x:c>
      <x:c r="J60" s="19" t="n">
        <x:v>2</x:v>
      </x:c>
      <x:c r="K60" s="19" t="n">
        <x:f>E60*G60</x:f>
        <x:v>60</x:v>
      </x:c>
      <x:c r="L60" s="19" t="n">
        <x:f>K60*I60</x:f>
        <x:v>0</x:v>
      </x:c>
      <x:c r="M60" s="19" t="n">
        <x:f>(E60-F60)*G60*(1-I60)</x:f>
        <x:v>60</x:v>
      </x:c>
      <x:c r="N60" s="19" t="n">
        <x:f>(E60-F60)*H60</x:f>
        <x:v>24</x:v>
      </x:c>
      <x:c r="O60" s="19" t="n">
        <x:f>F60*J60</x:f>
        <x:v>0</x:v>
      </x:c>
      <x:c r="P60" s="19" t="n">
        <x:f>M60-N60-O60</x:f>
        <x:v>36</x:v>
      </x:c>
    </x:row>
    <x:row r="61">
      <x:c r="A61" s="15" t="str">
        <x:v>SIM-0057</x:v>
      </x:c>
      <x:c r="B61" s="15" t="str">
        <x:v>2026-01</x:v>
      </x:c>
      <x:c r="C61" s="15" t="str">
        <x:v>Accesorios</x:v>
      </x:c>
      <x:c r="D61" s="15" t="str">
        <x:v>Tienda</x:v>
      </x:c>
      <x:c r="E61" s="15" t="n">
        <x:v>1</x:v>
      </x:c>
      <x:c r="F61" s="15" t="n">
        <x:v>0</x:v>
      </x:c>
      <x:c r="G61" s="19" t="n">
        <x:v>30</x:v>
      </x:c>
      <x:c r="H61" s="19" t="n">
        <x:v>9</x:v>
      </x:c>
      <x:c r="I61" s="17" t="n">
        <x:v>0.2</x:v>
      </x:c>
      <x:c r="J61" s="19" t="n">
        <x:v>2</x:v>
      </x:c>
      <x:c r="K61" s="19" t="n">
        <x:f>E61*G61</x:f>
        <x:v>30</x:v>
      </x:c>
      <x:c r="L61" s="19" t="n">
        <x:f>K61*I61</x:f>
        <x:v>6</x:v>
      </x:c>
      <x:c r="M61" s="19" t="n">
        <x:f>(E61-F61)*G61*(1-I61)</x:f>
        <x:v>24</x:v>
      </x:c>
      <x:c r="N61" s="19" t="n">
        <x:f>(E61-F61)*H61</x:f>
        <x:v>9</x:v>
      </x:c>
      <x:c r="O61" s="19" t="n">
        <x:f>F61*J61</x:f>
        <x:v>0</x:v>
      </x:c>
      <x:c r="P61" s="19" t="n">
        <x:f>M61-N61-O61</x:f>
        <x:v>15</x:v>
      </x:c>
    </x:row>
    <x:row r="62">
      <x:c r="A62" s="15" t="str">
        <x:v>SIM-0058</x:v>
      </x:c>
      <x:c r="B62" s="15" t="str">
        <x:v>2026-01</x:v>
      </x:c>
      <x:c r="C62" s="15" t="str">
        <x:v>Accesorios</x:v>
      </x:c>
      <x:c r="D62" s="15" t="str">
        <x:v>Tienda</x:v>
      </x:c>
      <x:c r="E62" s="15" t="n">
        <x:v>2</x:v>
      </x:c>
      <x:c r="F62" s="15" t="n">
        <x:v>0</x:v>
      </x:c>
      <x:c r="G62" s="19" t="n">
        <x:v>30</x:v>
      </x:c>
      <x:c r="H62" s="19" t="n">
        <x:v>9</x:v>
      </x:c>
      <x:c r="I62" s="17" t="n">
        <x:v>0.2</x:v>
      </x:c>
      <x:c r="J62" s="19" t="n">
        <x:v>2</x:v>
      </x:c>
      <x:c r="K62" s="19" t="n">
        <x:f>E62*G62</x:f>
        <x:v>60</x:v>
      </x:c>
      <x:c r="L62" s="19" t="n">
        <x:f>K62*I62</x:f>
        <x:v>12</x:v>
      </x:c>
      <x:c r="M62" s="19" t="n">
        <x:f>(E62-F62)*G62*(1-I62)</x:f>
        <x:v>48</x:v>
      </x:c>
      <x:c r="N62" s="19" t="n">
        <x:f>(E62-F62)*H62</x:f>
        <x:v>18</x:v>
      </x:c>
      <x:c r="O62" s="19" t="n">
        <x:f>F62*J62</x:f>
        <x:v>0</x:v>
      </x:c>
      <x:c r="P62" s="19" t="n">
        <x:f>M62-N62-O62</x:f>
        <x:v>30</x:v>
      </x:c>
    </x:row>
    <x:row r="63">
      <x:c r="A63" s="15" t="str">
        <x:v>SIM-0059</x:v>
      </x:c>
      <x:c r="B63" s="15" t="str">
        <x:v>2026-01</x:v>
      </x:c>
      <x:c r="C63" s="15" t="str">
        <x:v>Calzado</x:v>
      </x:c>
      <x:c r="D63" s="15" t="str">
        <x:v>Online</x:v>
      </x:c>
      <x:c r="E63" s="15" t="n">
        <x:v>1</x:v>
      </x:c>
      <x:c r="F63" s="15" t="n">
        <x:v>0</x:v>
      </x:c>
      <x:c r="G63" s="19" t="n">
        <x:v>90</x:v>
      </x:c>
      <x:c r="H63" s="19" t="n">
        <x:v>42</x:v>
      </x:c>
      <x:c r="I63" s="17" t="n">
        <x:v>0.2</x:v>
      </x:c>
      <x:c r="J63" s="19" t="n">
        <x:v>6</x:v>
      </x:c>
      <x:c r="K63" s="19" t="n">
        <x:f>E63*G63</x:f>
        <x:v>90</x:v>
      </x:c>
      <x:c r="L63" s="19" t="n">
        <x:f>K63*I63</x:f>
        <x:v>18</x:v>
      </x:c>
      <x:c r="M63" s="19" t="n">
        <x:f>(E63-F63)*G63*(1-I63)</x:f>
        <x:v>72</x:v>
      </x:c>
      <x:c r="N63" s="19" t="n">
        <x:f>(E63-F63)*H63</x:f>
        <x:v>42</x:v>
      </x:c>
      <x:c r="O63" s="19" t="n">
        <x:f>F63*J63</x:f>
        <x:v>0</x:v>
      </x:c>
      <x:c r="P63" s="19" t="n">
        <x:f>M63-N63-O63</x:f>
        <x:v>30</x:v>
      </x:c>
    </x:row>
    <x:row r="64">
      <x:c r="A64" s="15" t="str">
        <x:v>SIM-0060</x:v>
      </x:c>
      <x:c r="B64" s="15" t="str">
        <x:v>2026-01</x:v>
      </x:c>
      <x:c r="C64" s="15" t="str">
        <x:v>Calzado</x:v>
      </x:c>
      <x:c r="D64" s="15" t="str">
        <x:v>Online</x:v>
      </x:c>
      <x:c r="E64" s="15" t="n">
        <x:v>1</x:v>
      </x:c>
      <x:c r="F64" s="15" t="n">
        <x:v>1</x:v>
      </x:c>
      <x:c r="G64" s="19" t="n">
        <x:v>90</x:v>
      </x:c>
      <x:c r="H64" s="19" t="n">
        <x:v>42</x:v>
      </x:c>
      <x:c r="I64" s="17" t="n">
        <x:v>0.3</x:v>
      </x:c>
      <x:c r="J64" s="19" t="n">
        <x:v>6</x:v>
      </x:c>
      <x:c r="K64" s="19" t="n">
        <x:f>E64*G64</x:f>
        <x:v>90</x:v>
      </x:c>
      <x:c r="L64" s="19" t="n">
        <x:f>K64*I64</x:f>
        <x:v>27</x:v>
      </x:c>
      <x:c r="M64" s="19" t="n">
        <x:f>(E64-F64)*G64*(1-I64)</x:f>
        <x:v>0</x:v>
      </x:c>
      <x:c r="N64" s="19" t="n">
        <x:f>(E64-F64)*H64</x:f>
        <x:v>0</x:v>
      </x:c>
      <x:c r="O64" s="19" t="n">
        <x:f>F64*J64</x:f>
        <x:v>6</x:v>
      </x:c>
      <x:c r="P64" s="19" t="n">
        <x:f>M64-N64-O64</x:f>
        <x:v>-6</x:v>
      </x:c>
    </x:row>
    <x:row r="65">
      <x:c r="A65" s="15" t="str">
        <x:v>SIM-0061</x:v>
      </x:c>
      <x:c r="B65" s="15" t="str">
        <x:v>2026-01</x:v>
      </x:c>
      <x:c r="C65" s="15" t="str">
        <x:v>Accesorios</x:v>
      </x:c>
      <x:c r="D65" s="15" t="str">
        <x:v>Online</x:v>
      </x:c>
      <x:c r="E65" s="15" t="n">
        <x:v>1</x:v>
      </x:c>
      <x:c r="F65" s="15" t="n">
        <x:v>0</x:v>
      </x:c>
      <x:c r="G65" s="19" t="n">
        <x:v>30</x:v>
      </x:c>
      <x:c r="H65" s="19" t="n">
        <x:v>9</x:v>
      </x:c>
      <x:c r="I65" s="17" t="n">
        <x:v>0.3</x:v>
      </x:c>
      <x:c r="J65" s="19" t="n">
        <x:v>6</x:v>
      </x:c>
      <x:c r="K65" s="19" t="n">
        <x:f>E65*G65</x:f>
        <x:v>30</x:v>
      </x:c>
      <x:c r="L65" s="19" t="n">
        <x:f>K65*I65</x:f>
        <x:v>9</x:v>
      </x:c>
      <x:c r="M65" s="19" t="n">
        <x:f>(E65-F65)*G65*(1-I65)</x:f>
        <x:v>21</x:v>
      </x:c>
      <x:c r="N65" s="19" t="n">
        <x:f>(E65-F65)*H65</x:f>
        <x:v>9</x:v>
      </x:c>
      <x:c r="O65" s="19" t="n">
        <x:f>F65*J65</x:f>
        <x:v>0</x:v>
      </x:c>
      <x:c r="P65" s="19" t="n">
        <x:f>M65-N65-O65</x:f>
        <x:v>12</x:v>
      </x:c>
    </x:row>
    <x:row r="66">
      <x:c r="A66" s="15" t="str">
        <x:v>SIM-0062</x:v>
      </x:c>
      <x:c r="B66" s="15" t="str">
        <x:v>2026-01</x:v>
      </x:c>
      <x:c r="C66" s="15" t="str">
        <x:v>Calzado</x:v>
      </x:c>
      <x:c r="D66" s="15" t="str">
        <x:v>Online</x:v>
      </x:c>
      <x:c r="E66" s="15" t="n">
        <x:v>1</x:v>
      </x:c>
      <x:c r="F66" s="15" t="n">
        <x:v>0</x:v>
      </x:c>
      <x:c r="G66" s="19" t="n">
        <x:v>90</x:v>
      </x:c>
      <x:c r="H66" s="19" t="n">
        <x:v>42</x:v>
      </x:c>
      <x:c r="I66" s="17" t="n">
        <x:v>0.2</x:v>
      </x:c>
      <x:c r="J66" s="19" t="n">
        <x:v>6</x:v>
      </x:c>
      <x:c r="K66" s="19" t="n">
        <x:f>E66*G66</x:f>
        <x:v>90</x:v>
      </x:c>
      <x:c r="L66" s="19" t="n">
        <x:f>K66*I66</x:f>
        <x:v>18</x:v>
      </x:c>
      <x:c r="M66" s="19" t="n">
        <x:f>(E66-F66)*G66*(1-I66)</x:f>
        <x:v>72</x:v>
      </x:c>
      <x:c r="N66" s="19" t="n">
        <x:f>(E66-F66)*H66</x:f>
        <x:v>42</x:v>
      </x:c>
      <x:c r="O66" s="19" t="n">
        <x:f>F66*J66</x:f>
        <x:v>0</x:v>
      </x:c>
      <x:c r="P66" s="19" t="n">
        <x:f>M66-N66-O66</x:f>
        <x:v>30</x:v>
      </x:c>
    </x:row>
    <x:row r="67">
      <x:c r="A67" s="15" t="str">
        <x:v>SIM-0063</x:v>
      </x:c>
      <x:c r="B67" s="15" t="str">
        <x:v>2026-01</x:v>
      </x:c>
      <x:c r="C67" s="15" t="str">
        <x:v>Calzado</x:v>
      </x:c>
      <x:c r="D67" s="15" t="str">
        <x:v>Online</x:v>
      </x:c>
      <x:c r="E67" s="15" t="n">
        <x:v>3</x:v>
      </x:c>
      <x:c r="F67" s="15" t="n">
        <x:v>1</x:v>
      </x:c>
      <x:c r="G67" s="19" t="n">
        <x:v>90</x:v>
      </x:c>
      <x:c r="H67" s="19" t="n">
        <x:v>42</x:v>
      </x:c>
      <x:c r="I67" s="17" t="n">
        <x:v>0</x:v>
      </x:c>
      <x:c r="J67" s="19" t="n">
        <x:v>6</x:v>
      </x:c>
      <x:c r="K67" s="19" t="n">
        <x:f>E67*G67</x:f>
        <x:v>270</x:v>
      </x:c>
      <x:c r="L67" s="19" t="n">
        <x:f>K67*I67</x:f>
        <x:v>0</x:v>
      </x:c>
      <x:c r="M67" s="19" t="n">
        <x:f>(E67-F67)*G67*(1-I67)</x:f>
        <x:v>180</x:v>
      </x:c>
      <x:c r="N67" s="19" t="n">
        <x:f>(E67-F67)*H67</x:f>
        <x:v>84</x:v>
      </x:c>
      <x:c r="O67" s="19" t="n">
        <x:f>F67*J67</x:f>
        <x:v>6</x:v>
      </x:c>
      <x:c r="P67" s="19" t="n">
        <x:f>M67-N67-O67</x:f>
        <x:v>90</x:v>
      </x:c>
    </x:row>
    <x:row r="68">
      <x:c r="A68" s="15" t="str">
        <x:v>SIM-0064</x:v>
      </x:c>
      <x:c r="B68" s="15" t="str">
        <x:v>2026-01</x:v>
      </x:c>
      <x:c r="C68" s="15" t="str">
        <x:v>Prendas</x:v>
      </x:c>
      <x:c r="D68" s="15" t="str">
        <x:v>Online</x:v>
      </x:c>
      <x:c r="E68" s="15" t="n">
        <x:v>3</x:v>
      </x:c>
      <x:c r="F68" s="15" t="n">
        <x:v>0</x:v>
      </x:c>
      <x:c r="G68" s="19" t="n">
        <x:v>60</x:v>
      </x:c>
      <x:c r="H68" s="19" t="n">
        <x:v>24</x:v>
      </x:c>
      <x:c r="I68" s="17" t="n">
        <x:v>0.1</x:v>
      </x:c>
      <x:c r="J68" s="19" t="n">
        <x:v>6</x:v>
      </x:c>
      <x:c r="K68" s="19" t="n">
        <x:f>E68*G68</x:f>
        <x:v>180</x:v>
      </x:c>
      <x:c r="L68" s="19" t="n">
        <x:f>K68*I68</x:f>
        <x:v>18</x:v>
      </x:c>
      <x:c r="M68" s="19" t="n">
        <x:f>(E68-F68)*G68*(1-I68)</x:f>
        <x:v>162</x:v>
      </x:c>
      <x:c r="N68" s="19" t="n">
        <x:f>(E68-F68)*H68</x:f>
        <x:v>72</x:v>
      </x:c>
      <x:c r="O68" s="19" t="n">
        <x:f>F68*J68</x:f>
        <x:v>0</x:v>
      </x:c>
      <x:c r="P68" s="19" t="n">
        <x:f>M68-N68-O68</x:f>
        <x:v>90</x:v>
      </x:c>
    </x:row>
    <x:row r="69">
      <x:c r="A69" s="15" t="str">
        <x:v>SIM-0065</x:v>
      </x:c>
      <x:c r="B69" s="15" t="str">
        <x:v>2026-01</x:v>
      </x:c>
      <x:c r="C69" s="15" t="str">
        <x:v>Prendas</x:v>
      </x:c>
      <x:c r="D69" s="15" t="str">
        <x:v>Tienda</x:v>
      </x:c>
      <x:c r="E69" s="15" t="n">
        <x:v>1</x:v>
      </x:c>
      <x:c r="F69" s="15" t="n">
        <x:v>0</x:v>
      </x:c>
      <x:c r="G69" s="19" t="n">
        <x:v>60</x:v>
      </x:c>
      <x:c r="H69" s="19" t="n">
        <x:v>24</x:v>
      </x:c>
      <x:c r="I69" s="17" t="n">
        <x:v>0.1</x:v>
      </x:c>
      <x:c r="J69" s="19" t="n">
        <x:v>2</x:v>
      </x:c>
      <x:c r="K69" s="19" t="n">
        <x:f>E69*G69</x:f>
        <x:v>60</x:v>
      </x:c>
      <x:c r="L69" s="19" t="n">
        <x:f>K69*I69</x:f>
        <x:v>6</x:v>
      </x:c>
      <x:c r="M69" s="19" t="n">
        <x:f>(E69-F69)*G69*(1-I69)</x:f>
        <x:v>54</x:v>
      </x:c>
      <x:c r="N69" s="19" t="n">
        <x:f>(E69-F69)*H69</x:f>
        <x:v>24</x:v>
      </x:c>
      <x:c r="O69" s="19" t="n">
        <x:f>F69*J69</x:f>
        <x:v>0</x:v>
      </x:c>
      <x:c r="P69" s="19" t="n">
        <x:f>M69-N69-O69</x:f>
        <x:v>30</x:v>
      </x:c>
    </x:row>
    <x:row r="70">
      <x:c r="A70" s="15" t="str">
        <x:v>SIM-0066</x:v>
      </x:c>
      <x:c r="B70" s="15" t="str">
        <x:v>2026-01</x:v>
      </x:c>
      <x:c r="C70" s="15" t="str">
        <x:v>Prendas</x:v>
      </x:c>
      <x:c r="D70" s="15" t="str">
        <x:v>Online</x:v>
      </x:c>
      <x:c r="E70" s="15" t="n">
        <x:v>2</x:v>
      </x:c>
      <x:c r="F70" s="15" t="n">
        <x:v>0</x:v>
      </x:c>
      <x:c r="G70" s="19" t="n">
        <x:v>60</x:v>
      </x:c>
      <x:c r="H70" s="19" t="n">
        <x:v>24</x:v>
      </x:c>
      <x:c r="I70" s="17" t="n">
        <x:v>0</x:v>
      </x:c>
      <x:c r="J70" s="19" t="n">
        <x:v>6</x:v>
      </x:c>
      <x:c r="K70" s="19" t="n">
        <x:f>E70*G70</x:f>
        <x:v>120</x:v>
      </x:c>
      <x:c r="L70" s="19" t="n">
        <x:f>K70*I70</x:f>
        <x:v>0</x:v>
      </x:c>
      <x:c r="M70" s="19" t="n">
        <x:f>(E70-F70)*G70*(1-I70)</x:f>
        <x:v>120</x:v>
      </x:c>
      <x:c r="N70" s="19" t="n">
        <x:f>(E70-F70)*H70</x:f>
        <x:v>48</x:v>
      </x:c>
      <x:c r="O70" s="19" t="n">
        <x:f>F70*J70</x:f>
        <x:v>0</x:v>
      </x:c>
      <x:c r="P70" s="19" t="n">
        <x:f>M70-N70-O70</x:f>
        <x:v>72</x:v>
      </x:c>
    </x:row>
    <x:row r="71">
      <x:c r="A71" s="15" t="str">
        <x:v>SIM-0067</x:v>
      </x:c>
      <x:c r="B71" s="15" t="str">
        <x:v>2026-01</x:v>
      </x:c>
      <x:c r="C71" s="15" t="str">
        <x:v>Prendas</x:v>
      </x:c>
      <x:c r="D71" s="15" t="str">
        <x:v>Online</x:v>
      </x:c>
      <x:c r="E71" s="15" t="n">
        <x:v>1</x:v>
      </x:c>
      <x:c r="F71" s="15" t="n">
        <x:v>0</x:v>
      </x:c>
      <x:c r="G71" s="19" t="n">
        <x:v>60</x:v>
      </x:c>
      <x:c r="H71" s="19" t="n">
        <x:v>24</x:v>
      </x:c>
      <x:c r="I71" s="17" t="n">
        <x:v>0.3</x:v>
      </x:c>
      <x:c r="J71" s="19" t="n">
        <x:v>6</x:v>
      </x:c>
      <x:c r="K71" s="19" t="n">
        <x:f>E71*G71</x:f>
        <x:v>60</x:v>
      </x:c>
      <x:c r="L71" s="19" t="n">
        <x:f>K71*I71</x:f>
        <x:v>18</x:v>
      </x:c>
      <x:c r="M71" s="19" t="n">
        <x:f>(E71-F71)*G71*(1-I71)</x:f>
        <x:v>42</x:v>
      </x:c>
      <x:c r="N71" s="19" t="n">
        <x:f>(E71-F71)*H71</x:f>
        <x:v>24</x:v>
      </x:c>
      <x:c r="O71" s="19" t="n">
        <x:f>F71*J71</x:f>
        <x:v>0</x:v>
      </x:c>
      <x:c r="P71" s="19" t="n">
        <x:f>M71-N71-O71</x:f>
        <x:v>18</x:v>
      </x:c>
    </x:row>
    <x:row r="72">
      <x:c r="A72" s="15" t="str">
        <x:v>SIM-0068</x:v>
      </x:c>
      <x:c r="B72" s="15" t="str">
        <x:v>2026-01</x:v>
      </x:c>
      <x:c r="C72" s="15" t="str">
        <x:v>Accesorios</x:v>
      </x:c>
      <x:c r="D72" s="15" t="str">
        <x:v>Online</x:v>
      </x:c>
      <x:c r="E72" s="15" t="n">
        <x:v>1</x:v>
      </x:c>
      <x:c r="F72" s="15" t="n">
        <x:v>0</x:v>
      </x:c>
      <x:c r="G72" s="19" t="n">
        <x:v>30</x:v>
      </x:c>
      <x:c r="H72" s="19" t="n">
        <x:v>9</x:v>
      </x:c>
      <x:c r="I72" s="17" t="n">
        <x:v>0.2</x:v>
      </x:c>
      <x:c r="J72" s="19" t="n">
        <x:v>6</x:v>
      </x:c>
      <x:c r="K72" s="19" t="n">
        <x:f>E72*G72</x:f>
        <x:v>30</x:v>
      </x:c>
      <x:c r="L72" s="19" t="n">
        <x:f>K72*I72</x:f>
        <x:v>6</x:v>
      </x:c>
      <x:c r="M72" s="19" t="n">
        <x:f>(E72-F72)*G72*(1-I72)</x:f>
        <x:v>24</x:v>
      </x:c>
      <x:c r="N72" s="19" t="n">
        <x:f>(E72-F72)*H72</x:f>
        <x:v>9</x:v>
      </x:c>
      <x:c r="O72" s="19" t="n">
        <x:f>F72*J72</x:f>
        <x:v>0</x:v>
      </x:c>
      <x:c r="P72" s="19" t="n">
        <x:f>M72-N72-O72</x:f>
        <x:v>15</x:v>
      </x:c>
    </x:row>
    <x:row r="73">
      <x:c r="A73" s="15" t="str">
        <x:v>SIM-0069</x:v>
      </x:c>
      <x:c r="B73" s="15" t="str">
        <x:v>2026-01</x:v>
      </x:c>
      <x:c r="C73" s="15" t="str">
        <x:v>Prendas</x:v>
      </x:c>
      <x:c r="D73" s="15" t="str">
        <x:v>Online</x:v>
      </x:c>
      <x:c r="E73" s="15" t="n">
        <x:v>1</x:v>
      </x:c>
      <x:c r="F73" s="15" t="n">
        <x:v>0</x:v>
      </x:c>
      <x:c r="G73" s="19" t="n">
        <x:v>60</x:v>
      </x:c>
      <x:c r="H73" s="19" t="n">
        <x:v>24</x:v>
      </x:c>
      <x:c r="I73" s="17" t="n">
        <x:v>0.3</x:v>
      </x:c>
      <x:c r="J73" s="19" t="n">
        <x:v>6</x:v>
      </x:c>
      <x:c r="K73" s="19" t="n">
        <x:f>E73*G73</x:f>
        <x:v>60</x:v>
      </x:c>
      <x:c r="L73" s="19" t="n">
        <x:f>K73*I73</x:f>
        <x:v>18</x:v>
      </x:c>
      <x:c r="M73" s="19" t="n">
        <x:f>(E73-F73)*G73*(1-I73)</x:f>
        <x:v>42</x:v>
      </x:c>
      <x:c r="N73" s="19" t="n">
        <x:f>(E73-F73)*H73</x:f>
        <x:v>24</x:v>
      </x:c>
      <x:c r="O73" s="19" t="n">
        <x:f>F73*J73</x:f>
        <x:v>0</x:v>
      </x:c>
      <x:c r="P73" s="19" t="n">
        <x:f>M73-N73-O73</x:f>
        <x:v>18</x:v>
      </x:c>
    </x:row>
    <x:row r="74">
      <x:c r="A74" s="15" t="str">
        <x:v>SIM-0070</x:v>
      </x:c>
      <x:c r="B74" s="15" t="str">
        <x:v>2026-01</x:v>
      </x:c>
      <x:c r="C74" s="15" t="str">
        <x:v>Prendas</x:v>
      </x:c>
      <x:c r="D74" s="15" t="str">
        <x:v>Online</x:v>
      </x:c>
      <x:c r="E74" s="15" t="n">
        <x:v>1</x:v>
      </x:c>
      <x:c r="F74" s="15" t="n">
        <x:v>0</x:v>
      </x:c>
      <x:c r="G74" s="19" t="n">
        <x:v>60</x:v>
      </x:c>
      <x:c r="H74" s="19" t="n">
        <x:v>24</x:v>
      </x:c>
      <x:c r="I74" s="17" t="n">
        <x:v>0.3</x:v>
      </x:c>
      <x:c r="J74" s="19" t="n">
        <x:v>6</x:v>
      </x:c>
      <x:c r="K74" s="19" t="n">
        <x:f>E74*G74</x:f>
        <x:v>60</x:v>
      </x:c>
      <x:c r="L74" s="19" t="n">
        <x:f>K74*I74</x:f>
        <x:v>18</x:v>
      </x:c>
      <x:c r="M74" s="19" t="n">
        <x:f>(E74-F74)*G74*(1-I74)</x:f>
        <x:v>42</x:v>
      </x:c>
      <x:c r="N74" s="19" t="n">
        <x:f>(E74-F74)*H74</x:f>
        <x:v>24</x:v>
      </x:c>
      <x:c r="O74" s="19" t="n">
        <x:f>F74*J74</x:f>
        <x:v>0</x:v>
      </x:c>
      <x:c r="P74" s="19" t="n">
        <x:f>M74-N74-O74</x:f>
        <x:v>18</x:v>
      </x:c>
    </x:row>
    <x:row r="75">
      <x:c r="A75" s="15" t="str">
        <x:v>SIM-0071</x:v>
      </x:c>
      <x:c r="B75" s="15" t="str">
        <x:v>2026-01</x:v>
      </x:c>
      <x:c r="C75" s="15" t="str">
        <x:v>Prendas</x:v>
      </x:c>
      <x:c r="D75" s="15" t="str">
        <x:v>Tienda</x:v>
      </x:c>
      <x:c r="E75" s="15" t="n">
        <x:v>1</x:v>
      </x:c>
      <x:c r="F75" s="15" t="n">
        <x:v>0</x:v>
      </x:c>
      <x:c r="G75" s="19" t="n">
        <x:v>60</x:v>
      </x:c>
      <x:c r="H75" s="19" t="n">
        <x:v>24</x:v>
      </x:c>
      <x:c r="I75" s="17" t="n">
        <x:v>0</x:v>
      </x:c>
      <x:c r="J75" s="19" t="n">
        <x:v>2</x:v>
      </x:c>
      <x:c r="K75" s="19" t="n">
        <x:f>E75*G75</x:f>
        <x:v>60</x:v>
      </x:c>
      <x:c r="L75" s="19" t="n">
        <x:f>K75*I75</x:f>
        <x:v>0</x:v>
      </x:c>
      <x:c r="M75" s="19" t="n">
        <x:f>(E75-F75)*G75*(1-I75)</x:f>
        <x:v>60</x:v>
      </x:c>
      <x:c r="N75" s="19" t="n">
        <x:f>(E75-F75)*H75</x:f>
        <x:v>24</x:v>
      </x:c>
      <x:c r="O75" s="19" t="n">
        <x:f>F75*J75</x:f>
        <x:v>0</x:v>
      </x:c>
      <x:c r="P75" s="19" t="n">
        <x:f>M75-N75-O75</x:f>
        <x:v>36</x:v>
      </x:c>
    </x:row>
    <x:row r="76">
      <x:c r="A76" s="15" t="str">
        <x:v>SIM-0072</x:v>
      </x:c>
      <x:c r="B76" s="15" t="str">
        <x:v>2026-01</x:v>
      </x:c>
      <x:c r="C76" s="15" t="str">
        <x:v>Prendas</x:v>
      </x:c>
      <x:c r="D76" s="15" t="str">
        <x:v>Online</x:v>
      </x:c>
      <x:c r="E76" s="15" t="n">
        <x:v>1</x:v>
      </x:c>
      <x:c r="F76" s="15" t="n">
        <x:v>0</x:v>
      </x:c>
      <x:c r="G76" s="19" t="n">
        <x:v>60</x:v>
      </x:c>
      <x:c r="H76" s="19" t="n">
        <x:v>24</x:v>
      </x:c>
      <x:c r="I76" s="17" t="n">
        <x:v>0.1</x:v>
      </x:c>
      <x:c r="J76" s="19" t="n">
        <x:v>6</x:v>
      </x:c>
      <x:c r="K76" s="19" t="n">
        <x:f>E76*G76</x:f>
        <x:v>60</x:v>
      </x:c>
      <x:c r="L76" s="19" t="n">
        <x:f>K76*I76</x:f>
        <x:v>6</x:v>
      </x:c>
      <x:c r="M76" s="19" t="n">
        <x:f>(E76-F76)*G76*(1-I76)</x:f>
        <x:v>54</x:v>
      </x:c>
      <x:c r="N76" s="19" t="n">
        <x:f>(E76-F76)*H76</x:f>
        <x:v>24</x:v>
      </x:c>
      <x:c r="O76" s="19" t="n">
        <x:f>F76*J76</x:f>
        <x:v>0</x:v>
      </x:c>
      <x:c r="P76" s="19" t="n">
        <x:f>M76-N76-O76</x:f>
        <x:v>30</x:v>
      </x:c>
    </x:row>
    <x:row r="77">
      <x:c r="A77" s="15" t="str">
        <x:v>SIM-0073</x:v>
      </x:c>
      <x:c r="B77" s="15" t="str">
        <x:v>2026-01</x:v>
      </x:c>
      <x:c r="C77" s="15" t="str">
        <x:v>Prendas</x:v>
      </x:c>
      <x:c r="D77" s="15" t="str">
        <x:v>Online</x:v>
      </x:c>
      <x:c r="E77" s="15" t="n">
        <x:v>2</x:v>
      </x:c>
      <x:c r="F77" s="15" t="n">
        <x:v>0</x:v>
      </x:c>
      <x:c r="G77" s="19" t="n">
        <x:v>60</x:v>
      </x:c>
      <x:c r="H77" s="19" t="n">
        <x:v>24</x:v>
      </x:c>
      <x:c r="I77" s="17" t="n">
        <x:v>0.3</x:v>
      </x:c>
      <x:c r="J77" s="19" t="n">
        <x:v>6</x:v>
      </x:c>
      <x:c r="K77" s="19" t="n">
        <x:f>E77*G77</x:f>
        <x:v>120</x:v>
      </x:c>
      <x:c r="L77" s="19" t="n">
        <x:f>K77*I77</x:f>
        <x:v>36</x:v>
      </x:c>
      <x:c r="M77" s="19" t="n">
        <x:f>(E77-F77)*G77*(1-I77)</x:f>
        <x:v>84</x:v>
      </x:c>
      <x:c r="N77" s="19" t="n">
        <x:f>(E77-F77)*H77</x:f>
        <x:v>48</x:v>
      </x:c>
      <x:c r="O77" s="19" t="n">
        <x:f>F77*J77</x:f>
        <x:v>0</x:v>
      </x:c>
      <x:c r="P77" s="19" t="n">
        <x:f>M77-N77-O77</x:f>
        <x:v>36</x:v>
      </x:c>
    </x:row>
    <x:row r="78">
      <x:c r="A78" s="15" t="str">
        <x:v>SIM-0074</x:v>
      </x:c>
      <x:c r="B78" s="15" t="str">
        <x:v>2026-01</x:v>
      </x:c>
      <x:c r="C78" s="15" t="str">
        <x:v>Prendas</x:v>
      </x:c>
      <x:c r="D78" s="15" t="str">
        <x:v>Tienda</x:v>
      </x:c>
      <x:c r="E78" s="15" t="n">
        <x:v>1</x:v>
      </x:c>
      <x:c r="F78" s="15" t="n">
        <x:v>0</x:v>
      </x:c>
      <x:c r="G78" s="19" t="n">
        <x:v>60</x:v>
      </x:c>
      <x:c r="H78" s="19" t="n">
        <x:v>24</x:v>
      </x:c>
      <x:c r="I78" s="17" t="n">
        <x:v>0</x:v>
      </x:c>
      <x:c r="J78" s="19" t="n">
        <x:v>2</x:v>
      </x:c>
      <x:c r="K78" s="19" t="n">
        <x:f>E78*G78</x:f>
        <x:v>60</x:v>
      </x:c>
      <x:c r="L78" s="19" t="n">
        <x:f>K78*I78</x:f>
        <x:v>0</x:v>
      </x:c>
      <x:c r="M78" s="19" t="n">
        <x:f>(E78-F78)*G78*(1-I78)</x:f>
        <x:v>60</x:v>
      </x:c>
      <x:c r="N78" s="19" t="n">
        <x:f>(E78-F78)*H78</x:f>
        <x:v>24</x:v>
      </x:c>
      <x:c r="O78" s="19" t="n">
        <x:f>F78*J78</x:f>
        <x:v>0</x:v>
      </x:c>
      <x:c r="P78" s="19" t="n">
        <x:f>M78-N78-O78</x:f>
        <x:v>36</x:v>
      </x:c>
    </x:row>
    <x:row r="79">
      <x:c r="A79" s="15" t="str">
        <x:v>SIM-0075</x:v>
      </x:c>
      <x:c r="B79" s="15" t="str">
        <x:v>2026-01</x:v>
      </x:c>
      <x:c r="C79" s="15" t="str">
        <x:v>Accesorios</x:v>
      </x:c>
      <x:c r="D79" s="15" t="str">
        <x:v>Online</x:v>
      </x:c>
      <x:c r="E79" s="15" t="n">
        <x:v>1</x:v>
      </x:c>
      <x:c r="F79" s="15" t="n">
        <x:v>0</x:v>
      </x:c>
      <x:c r="G79" s="19" t="n">
        <x:v>30</x:v>
      </x:c>
      <x:c r="H79" s="19" t="n">
        <x:v>9</x:v>
      </x:c>
      <x:c r="I79" s="17" t="n">
        <x:v>0.3</x:v>
      </x:c>
      <x:c r="J79" s="19" t="n">
        <x:v>6</x:v>
      </x:c>
      <x:c r="K79" s="19" t="n">
        <x:f>E79*G79</x:f>
        <x:v>30</x:v>
      </x:c>
      <x:c r="L79" s="19" t="n">
        <x:f>K79*I79</x:f>
        <x:v>9</x:v>
      </x:c>
      <x:c r="M79" s="19" t="n">
        <x:f>(E79-F79)*G79*(1-I79)</x:f>
        <x:v>21</x:v>
      </x:c>
      <x:c r="N79" s="19" t="n">
        <x:f>(E79-F79)*H79</x:f>
        <x:v>9</x:v>
      </x:c>
      <x:c r="O79" s="19" t="n">
        <x:f>F79*J79</x:f>
        <x:v>0</x:v>
      </x:c>
      <x:c r="P79" s="19" t="n">
        <x:f>M79-N79-O79</x:f>
        <x:v>12</x:v>
      </x:c>
    </x:row>
    <x:row r="80">
      <x:c r="A80" s="15" t="str">
        <x:v>SIM-0076</x:v>
      </x:c>
      <x:c r="B80" s="15" t="str">
        <x:v>2026-01</x:v>
      </x:c>
      <x:c r="C80" s="15" t="str">
        <x:v>Accesorios</x:v>
      </x:c>
      <x:c r="D80" s="15" t="str">
        <x:v>Online</x:v>
      </x:c>
      <x:c r="E80" s="15" t="n">
        <x:v>1</x:v>
      </x:c>
      <x:c r="F80" s="15" t="n">
        <x:v>0</x:v>
      </x:c>
      <x:c r="G80" s="19" t="n">
        <x:v>30</x:v>
      </x:c>
      <x:c r="H80" s="19" t="n">
        <x:v>9</x:v>
      </x:c>
      <x:c r="I80" s="17" t="n">
        <x:v>0.3</x:v>
      </x:c>
      <x:c r="J80" s="19" t="n">
        <x:v>6</x:v>
      </x:c>
      <x:c r="K80" s="19" t="n">
        <x:f>E80*G80</x:f>
        <x:v>30</x:v>
      </x:c>
      <x:c r="L80" s="19" t="n">
        <x:f>K80*I80</x:f>
        <x:v>9</x:v>
      </x:c>
      <x:c r="M80" s="19" t="n">
        <x:f>(E80-F80)*G80*(1-I80)</x:f>
        <x:v>21</x:v>
      </x:c>
      <x:c r="N80" s="19" t="n">
        <x:f>(E80-F80)*H80</x:f>
        <x:v>9</x:v>
      </x:c>
      <x:c r="O80" s="19" t="n">
        <x:f>F80*J80</x:f>
        <x:v>0</x:v>
      </x:c>
      <x:c r="P80" s="19" t="n">
        <x:f>M80-N80-O80</x:f>
        <x:v>12</x:v>
      </x:c>
    </x:row>
    <x:row r="81">
      <x:c r="A81" s="15" t="str">
        <x:v>SIM-0077</x:v>
      </x:c>
      <x:c r="B81" s="15" t="str">
        <x:v>2026-01</x:v>
      </x:c>
      <x:c r="C81" s="15" t="str">
        <x:v>Prendas</x:v>
      </x:c>
      <x:c r="D81" s="15" t="str">
        <x:v>Tienda</x:v>
      </x:c>
      <x:c r="E81" s="15" t="n">
        <x:v>1</x:v>
      </x:c>
      <x:c r="F81" s="15" t="n">
        <x:v>1</x:v>
      </x:c>
      <x:c r="G81" s="19" t="n">
        <x:v>60</x:v>
      </x:c>
      <x:c r="H81" s="19" t="n">
        <x:v>24</x:v>
      </x:c>
      <x:c r="I81" s="17" t="n">
        <x:v>0</x:v>
      </x:c>
      <x:c r="J81" s="19" t="n">
        <x:v>2</x:v>
      </x:c>
      <x:c r="K81" s="19" t="n">
        <x:f>E81*G81</x:f>
        <x:v>60</x:v>
      </x:c>
      <x:c r="L81" s="19" t="n">
        <x:f>K81*I81</x:f>
        <x:v>0</x:v>
      </x:c>
      <x:c r="M81" s="19" t="n">
        <x:f>(E81-F81)*G81*(1-I81)</x:f>
        <x:v>0</x:v>
      </x:c>
      <x:c r="N81" s="19" t="n">
        <x:f>(E81-F81)*H81</x:f>
        <x:v>0</x:v>
      </x:c>
      <x:c r="O81" s="19" t="n">
        <x:f>F81*J81</x:f>
        <x:v>2</x:v>
      </x:c>
      <x:c r="P81" s="19" t="n">
        <x:f>M81-N81-O81</x:f>
        <x:v>-2</x:v>
      </x:c>
    </x:row>
    <x:row r="82">
      <x:c r="A82" s="15" t="str">
        <x:v>SIM-0078</x:v>
      </x:c>
      <x:c r="B82" s="15" t="str">
        <x:v>2026-01</x:v>
      </x:c>
      <x:c r="C82" s="15" t="str">
        <x:v>Accesorios</x:v>
      </x:c>
      <x:c r="D82" s="15" t="str">
        <x:v>Tienda</x:v>
      </x:c>
      <x:c r="E82" s="15" t="n">
        <x:v>1</x:v>
      </x:c>
      <x:c r="F82" s="15" t="n">
        <x:v>0</x:v>
      </x:c>
      <x:c r="G82" s="19" t="n">
        <x:v>30</x:v>
      </x:c>
      <x:c r="H82" s="19" t="n">
        <x:v>9</x:v>
      </x:c>
      <x:c r="I82" s="17" t="n">
        <x:v>0</x:v>
      </x:c>
      <x:c r="J82" s="19" t="n">
        <x:v>2</x:v>
      </x:c>
      <x:c r="K82" s="19" t="n">
        <x:f>E82*G82</x:f>
        <x:v>30</x:v>
      </x:c>
      <x:c r="L82" s="19" t="n">
        <x:f>K82*I82</x:f>
        <x:v>0</x:v>
      </x:c>
      <x:c r="M82" s="19" t="n">
        <x:f>(E82-F82)*G82*(1-I82)</x:f>
        <x:v>30</x:v>
      </x:c>
      <x:c r="N82" s="19" t="n">
        <x:f>(E82-F82)*H82</x:f>
        <x:v>9</x:v>
      </x:c>
      <x:c r="O82" s="19" t="n">
        <x:f>F82*J82</x:f>
        <x:v>0</x:v>
      </x:c>
      <x:c r="P82" s="19" t="n">
        <x:f>M82-N82-O82</x:f>
        <x:v>21</x:v>
      </x:c>
    </x:row>
    <x:row r="83">
      <x:c r="A83" s="15" t="str">
        <x:v>SIM-0079</x:v>
      </x:c>
      <x:c r="B83" s="15" t="str">
        <x:v>2026-01</x:v>
      </x:c>
      <x:c r="C83" s="15" t="str">
        <x:v>Prendas</x:v>
      </x:c>
      <x:c r="D83" s="15" t="str">
        <x:v>Online</x:v>
      </x:c>
      <x:c r="E83" s="15" t="n">
        <x:v>1</x:v>
      </x:c>
      <x:c r="F83" s="15" t="n">
        <x:v>1</x:v>
      </x:c>
      <x:c r="G83" s="19" t="n">
        <x:v>60</x:v>
      </x:c>
      <x:c r="H83" s="19" t="n">
        <x:v>24</x:v>
      </x:c>
      <x:c r="I83" s="17" t="n">
        <x:v>0.1</x:v>
      </x:c>
      <x:c r="J83" s="19" t="n">
        <x:v>6</x:v>
      </x:c>
      <x:c r="K83" s="19" t="n">
        <x:f>E83*G83</x:f>
        <x:v>60</x:v>
      </x:c>
      <x:c r="L83" s="19" t="n">
        <x:f>K83*I83</x:f>
        <x:v>6</x:v>
      </x:c>
      <x:c r="M83" s="19" t="n">
        <x:f>(E83-F83)*G83*(1-I83)</x:f>
        <x:v>0</x:v>
      </x:c>
      <x:c r="N83" s="19" t="n">
        <x:f>(E83-F83)*H83</x:f>
        <x:v>0</x:v>
      </x:c>
      <x:c r="O83" s="19" t="n">
        <x:f>F83*J83</x:f>
        <x:v>6</x:v>
      </x:c>
      <x:c r="P83" s="19" t="n">
        <x:f>M83-N83-O83</x:f>
        <x:v>-6</x:v>
      </x:c>
    </x:row>
    <x:row r="84">
      <x:c r="A84" s="15" t="str">
        <x:v>SIM-0080</x:v>
      </x:c>
      <x:c r="B84" s="15" t="str">
        <x:v>2026-01</x:v>
      </x:c>
      <x:c r="C84" s="15" t="str">
        <x:v>Calzado</x:v>
      </x:c>
      <x:c r="D84" s="15" t="str">
        <x:v>Online</x:v>
      </x:c>
      <x:c r="E84" s="15" t="n">
        <x:v>2</x:v>
      </x:c>
      <x:c r="F84" s="15" t="n">
        <x:v>0</x:v>
      </x:c>
      <x:c r="G84" s="19" t="n">
        <x:v>90</x:v>
      </x:c>
      <x:c r="H84" s="19" t="n">
        <x:v>42</x:v>
      </x:c>
      <x:c r="I84" s="17" t="n">
        <x:v>0</x:v>
      </x:c>
      <x:c r="J84" s="19" t="n">
        <x:v>6</x:v>
      </x:c>
      <x:c r="K84" s="19" t="n">
        <x:f>E84*G84</x:f>
        <x:v>180</x:v>
      </x:c>
      <x:c r="L84" s="19" t="n">
        <x:f>K84*I84</x:f>
        <x:v>0</x:v>
      </x:c>
      <x:c r="M84" s="19" t="n">
        <x:f>(E84-F84)*G84*(1-I84)</x:f>
        <x:v>180</x:v>
      </x:c>
      <x:c r="N84" s="19" t="n">
        <x:f>(E84-F84)*H84</x:f>
        <x:v>84</x:v>
      </x:c>
      <x:c r="O84" s="19" t="n">
        <x:f>F84*J84</x:f>
        <x:v>0</x:v>
      </x:c>
      <x:c r="P84" s="19" t="n">
        <x:f>M84-N84-O84</x:f>
        <x:v>96</x:v>
      </x:c>
    </x:row>
    <x:row r="85">
      <x:c r="A85" s="15" t="str">
        <x:v>SIM-0081</x:v>
      </x:c>
      <x:c r="B85" s="15" t="str">
        <x:v>2026-01</x:v>
      </x:c>
      <x:c r="C85" s="15" t="str">
        <x:v>Prendas</x:v>
      </x:c>
      <x:c r="D85" s="15" t="str">
        <x:v>Tienda</x:v>
      </x:c>
      <x:c r="E85" s="15" t="n">
        <x:v>2</x:v>
      </x:c>
      <x:c r="F85" s="15" t="n">
        <x:v>0</x:v>
      </x:c>
      <x:c r="G85" s="19" t="n">
        <x:v>60</x:v>
      </x:c>
      <x:c r="H85" s="19" t="n">
        <x:v>24</x:v>
      </x:c>
      <x:c r="I85" s="17" t="n">
        <x:v>0.2</x:v>
      </x:c>
      <x:c r="J85" s="19" t="n">
        <x:v>2</x:v>
      </x:c>
      <x:c r="K85" s="19" t="n">
        <x:f>E85*G85</x:f>
        <x:v>120</x:v>
      </x:c>
      <x:c r="L85" s="19" t="n">
        <x:f>K85*I85</x:f>
        <x:v>24</x:v>
      </x:c>
      <x:c r="M85" s="19" t="n">
        <x:f>(E85-F85)*G85*(1-I85)</x:f>
        <x:v>96</x:v>
      </x:c>
      <x:c r="N85" s="19" t="n">
        <x:f>(E85-F85)*H85</x:f>
        <x:v>48</x:v>
      </x:c>
      <x:c r="O85" s="19" t="n">
        <x:f>F85*J85</x:f>
        <x:v>0</x:v>
      </x:c>
      <x:c r="P85" s="19" t="n">
        <x:f>M85-N85-O85</x:f>
        <x:v>48</x:v>
      </x:c>
    </x:row>
    <x:row r="86">
      <x:c r="A86" s="15" t="str">
        <x:v>SIM-0082</x:v>
      </x:c>
      <x:c r="B86" s="15" t="str">
        <x:v>2026-01</x:v>
      </x:c>
      <x:c r="C86" s="15" t="str">
        <x:v>Prendas</x:v>
      </x:c>
      <x:c r="D86" s="15" t="str">
        <x:v>Tienda</x:v>
      </x:c>
      <x:c r="E86" s="15" t="n">
        <x:v>1</x:v>
      </x:c>
      <x:c r="F86" s="15" t="n">
        <x:v>0</x:v>
      </x:c>
      <x:c r="G86" s="19" t="n">
        <x:v>60</x:v>
      </x:c>
      <x:c r="H86" s="19" t="n">
        <x:v>24</x:v>
      </x:c>
      <x:c r="I86" s="17" t="n">
        <x:v>0.2</x:v>
      </x:c>
      <x:c r="J86" s="19" t="n">
        <x:v>2</x:v>
      </x:c>
      <x:c r="K86" s="19" t="n">
        <x:f>E86*G86</x:f>
        <x:v>60</x:v>
      </x:c>
      <x:c r="L86" s="19" t="n">
        <x:f>K86*I86</x:f>
        <x:v>12</x:v>
      </x:c>
      <x:c r="M86" s="19" t="n">
        <x:f>(E86-F86)*G86*(1-I86)</x:f>
        <x:v>48</x:v>
      </x:c>
      <x:c r="N86" s="19" t="n">
        <x:f>(E86-F86)*H86</x:f>
        <x:v>24</x:v>
      </x:c>
      <x:c r="O86" s="19" t="n">
        <x:f>F86*J86</x:f>
        <x:v>0</x:v>
      </x:c>
      <x:c r="P86" s="19" t="n">
        <x:f>M86-N86-O86</x:f>
        <x:v>24</x:v>
      </x:c>
    </x:row>
    <x:row r="87">
      <x:c r="A87" s="15" t="str">
        <x:v>SIM-0083</x:v>
      </x:c>
      <x:c r="B87" s="15" t="str">
        <x:v>2026-01</x:v>
      </x:c>
      <x:c r="C87" s="15" t="str">
        <x:v>Calzado</x:v>
      </x:c>
      <x:c r="D87" s="15" t="str">
        <x:v>Online</x:v>
      </x:c>
      <x:c r="E87" s="15" t="n">
        <x:v>1</x:v>
      </x:c>
      <x:c r="F87" s="15" t="n">
        <x:v>0</x:v>
      </x:c>
      <x:c r="G87" s="19" t="n">
        <x:v>90</x:v>
      </x:c>
      <x:c r="H87" s="19" t="n">
        <x:v>42</x:v>
      </x:c>
      <x:c r="I87" s="17" t="n">
        <x:v>0.3</x:v>
      </x:c>
      <x:c r="J87" s="19" t="n">
        <x:v>6</x:v>
      </x:c>
      <x:c r="K87" s="19" t="n">
        <x:f>E87*G87</x:f>
        <x:v>90</x:v>
      </x:c>
      <x:c r="L87" s="19" t="n">
        <x:f>K87*I87</x:f>
        <x:v>27</x:v>
      </x:c>
      <x:c r="M87" s="19" t="n">
        <x:f>(E87-F87)*G87*(1-I87)</x:f>
        <x:v>62.99999999999999</x:v>
      </x:c>
      <x:c r="N87" s="19" t="n">
        <x:f>(E87-F87)*H87</x:f>
        <x:v>42</x:v>
      </x:c>
      <x:c r="O87" s="19" t="n">
        <x:f>F87*J87</x:f>
        <x:v>0</x:v>
      </x:c>
      <x:c r="P87" s="19" t="n">
        <x:f>M87-N87-O87</x:f>
        <x:v>20.999999999999993</x:v>
      </x:c>
    </x:row>
    <x:row r="88">
      <x:c r="A88" s="15" t="str">
        <x:v>SIM-0084</x:v>
      </x:c>
      <x:c r="B88" s="15" t="str">
        <x:v>2026-01</x:v>
      </x:c>
      <x:c r="C88" s="15" t="str">
        <x:v>Calzado</x:v>
      </x:c>
      <x:c r="D88" s="15" t="str">
        <x:v>Online</x:v>
      </x:c>
      <x:c r="E88" s="15" t="n">
        <x:v>1</x:v>
      </x:c>
      <x:c r="F88" s="15" t="n">
        <x:v>0</x:v>
      </x:c>
      <x:c r="G88" s="19" t="n">
        <x:v>90</x:v>
      </x:c>
      <x:c r="H88" s="19" t="n">
        <x:v>42</x:v>
      </x:c>
      <x:c r="I88" s="17" t="n">
        <x:v>0</x:v>
      </x:c>
      <x:c r="J88" s="19" t="n">
        <x:v>6</x:v>
      </x:c>
      <x:c r="K88" s="19" t="n">
        <x:f>E88*G88</x:f>
        <x:v>90</x:v>
      </x:c>
      <x:c r="L88" s="19" t="n">
        <x:f>K88*I88</x:f>
        <x:v>0</x:v>
      </x:c>
      <x:c r="M88" s="19" t="n">
        <x:f>(E88-F88)*G88*(1-I88)</x:f>
        <x:v>90</x:v>
      </x:c>
      <x:c r="N88" s="19" t="n">
        <x:f>(E88-F88)*H88</x:f>
        <x:v>42</x:v>
      </x:c>
      <x:c r="O88" s="19" t="n">
        <x:f>F88*J88</x:f>
        <x:v>0</x:v>
      </x:c>
      <x:c r="P88" s="19" t="n">
        <x:f>M88-N88-O88</x:f>
        <x:v>48</x:v>
      </x:c>
    </x:row>
    <x:row r="89">
      <x:c r="A89" s="15" t="str">
        <x:v>SIM-0085</x:v>
      </x:c>
      <x:c r="B89" s="15" t="str">
        <x:v>2026-01</x:v>
      </x:c>
      <x:c r="C89" s="15" t="str">
        <x:v>Prendas</x:v>
      </x:c>
      <x:c r="D89" s="15" t="str">
        <x:v>Online</x:v>
      </x:c>
      <x:c r="E89" s="15" t="n">
        <x:v>1</x:v>
      </x:c>
      <x:c r="F89" s="15" t="n">
        <x:v>0</x:v>
      </x:c>
      <x:c r="G89" s="19" t="n">
        <x:v>60</x:v>
      </x:c>
      <x:c r="H89" s="19" t="n">
        <x:v>24</x:v>
      </x:c>
      <x:c r="I89" s="17" t="n">
        <x:v>0</x:v>
      </x:c>
      <x:c r="J89" s="19" t="n">
        <x:v>6</x:v>
      </x:c>
      <x:c r="K89" s="19" t="n">
        <x:f>E89*G89</x:f>
        <x:v>60</x:v>
      </x:c>
      <x:c r="L89" s="19" t="n">
        <x:f>K89*I89</x:f>
        <x:v>0</x:v>
      </x:c>
      <x:c r="M89" s="19" t="n">
        <x:f>(E89-F89)*G89*(1-I89)</x:f>
        <x:v>60</x:v>
      </x:c>
      <x:c r="N89" s="19" t="n">
        <x:f>(E89-F89)*H89</x:f>
        <x:v>24</x:v>
      </x:c>
      <x:c r="O89" s="19" t="n">
        <x:f>F89*J89</x:f>
        <x:v>0</x:v>
      </x:c>
      <x:c r="P89" s="19" t="n">
        <x:f>M89-N89-O89</x:f>
        <x:v>36</x:v>
      </x:c>
    </x:row>
    <x:row r="90">
      <x:c r="A90" s="15" t="str">
        <x:v>SIM-0086</x:v>
      </x:c>
      <x:c r="B90" s="15" t="str">
        <x:v>2026-01</x:v>
      </x:c>
      <x:c r="C90" s="15" t="str">
        <x:v>Accesorios</x:v>
      </x:c>
      <x:c r="D90" s="15" t="str">
        <x:v>Online</x:v>
      </x:c>
      <x:c r="E90" s="15" t="n">
        <x:v>1</x:v>
      </x:c>
      <x:c r="F90" s="15" t="n">
        <x:v>0</x:v>
      </x:c>
      <x:c r="G90" s="19" t="n">
        <x:v>30</x:v>
      </x:c>
      <x:c r="H90" s="19" t="n">
        <x:v>9</x:v>
      </x:c>
      <x:c r="I90" s="17" t="n">
        <x:v>0</x:v>
      </x:c>
      <x:c r="J90" s="19" t="n">
        <x:v>6</x:v>
      </x:c>
      <x:c r="K90" s="19" t="n">
        <x:f>E90*G90</x:f>
        <x:v>30</x:v>
      </x:c>
      <x:c r="L90" s="19" t="n">
        <x:f>K90*I90</x:f>
        <x:v>0</x:v>
      </x:c>
      <x:c r="M90" s="19" t="n">
        <x:f>(E90-F90)*G90*(1-I90)</x:f>
        <x:v>30</x:v>
      </x:c>
      <x:c r="N90" s="19" t="n">
        <x:f>(E90-F90)*H90</x:f>
        <x:v>9</x:v>
      </x:c>
      <x:c r="O90" s="19" t="n">
        <x:f>F90*J90</x:f>
        <x:v>0</x:v>
      </x:c>
      <x:c r="P90" s="19" t="n">
        <x:f>M90-N90-O90</x:f>
        <x:v>21</x:v>
      </x:c>
    </x:row>
    <x:row r="91">
      <x:c r="A91" s="15" t="str">
        <x:v>SIM-0087</x:v>
      </x:c>
      <x:c r="B91" s="15" t="str">
        <x:v>2026-01</x:v>
      </x:c>
      <x:c r="C91" s="15" t="str">
        <x:v>Prendas</x:v>
      </x:c>
      <x:c r="D91" s="15" t="str">
        <x:v>Online</x:v>
      </x:c>
      <x:c r="E91" s="15" t="n">
        <x:v>1</x:v>
      </x:c>
      <x:c r="F91" s="15" t="n">
        <x:v>1</x:v>
      </x:c>
      <x:c r="G91" s="19" t="n">
        <x:v>60</x:v>
      </x:c>
      <x:c r="H91" s="19" t="n">
        <x:v>24</x:v>
      </x:c>
      <x:c r="I91" s="17" t="n">
        <x:v>0.2</x:v>
      </x:c>
      <x:c r="J91" s="19" t="n">
        <x:v>6</x:v>
      </x:c>
      <x:c r="K91" s="19" t="n">
        <x:f>E91*G91</x:f>
        <x:v>60</x:v>
      </x:c>
      <x:c r="L91" s="19" t="n">
        <x:f>K91*I91</x:f>
        <x:v>12</x:v>
      </x:c>
      <x:c r="M91" s="19" t="n">
        <x:f>(E91-F91)*G91*(1-I91)</x:f>
        <x:v>0</x:v>
      </x:c>
      <x:c r="N91" s="19" t="n">
        <x:f>(E91-F91)*H91</x:f>
        <x:v>0</x:v>
      </x:c>
      <x:c r="O91" s="19" t="n">
        <x:f>F91*J91</x:f>
        <x:v>6</x:v>
      </x:c>
      <x:c r="P91" s="19" t="n">
        <x:f>M91-N91-O91</x:f>
        <x:v>-6</x:v>
      </x:c>
    </x:row>
    <x:row r="92">
      <x:c r="A92" s="15" t="str">
        <x:v>SIM-0088</x:v>
      </x:c>
      <x:c r="B92" s="15" t="str">
        <x:v>2026-01</x:v>
      </x:c>
      <x:c r="C92" s="15" t="str">
        <x:v>Calzado</x:v>
      </x:c>
      <x:c r="D92" s="15" t="str">
        <x:v>Tienda</x:v>
      </x:c>
      <x:c r="E92" s="15" t="n">
        <x:v>1</x:v>
      </x:c>
      <x:c r="F92" s="15" t="n">
        <x:v>0</x:v>
      </x:c>
      <x:c r="G92" s="19" t="n">
        <x:v>90</x:v>
      </x:c>
      <x:c r="H92" s="19" t="n">
        <x:v>42</x:v>
      </x:c>
      <x:c r="I92" s="17" t="n">
        <x:v>0.3</x:v>
      </x:c>
      <x:c r="J92" s="19" t="n">
        <x:v>2</x:v>
      </x:c>
      <x:c r="K92" s="19" t="n">
        <x:f>E92*G92</x:f>
        <x:v>90</x:v>
      </x:c>
      <x:c r="L92" s="19" t="n">
        <x:f>K92*I92</x:f>
        <x:v>27</x:v>
      </x:c>
      <x:c r="M92" s="19" t="n">
        <x:f>(E92-F92)*G92*(1-I92)</x:f>
        <x:v>62.99999999999999</x:v>
      </x:c>
      <x:c r="N92" s="19" t="n">
        <x:f>(E92-F92)*H92</x:f>
        <x:v>42</x:v>
      </x:c>
      <x:c r="O92" s="19" t="n">
        <x:f>F92*J92</x:f>
        <x:v>0</x:v>
      </x:c>
      <x:c r="P92" s="19" t="n">
        <x:f>M92-N92-O92</x:f>
        <x:v>20.999999999999993</x:v>
      </x:c>
    </x:row>
    <x:row r="93">
      <x:c r="A93" s="15" t="str">
        <x:v>SIM-0089</x:v>
      </x:c>
      <x:c r="B93" s="15" t="str">
        <x:v>2026-01</x:v>
      </x:c>
      <x:c r="C93" s="15" t="str">
        <x:v>Calzado</x:v>
      </x:c>
      <x:c r="D93" s="15" t="str">
        <x:v>Online</x:v>
      </x:c>
      <x:c r="E93" s="15" t="n">
        <x:v>3</x:v>
      </x:c>
      <x:c r="F93" s="15" t="n">
        <x:v>2</x:v>
      </x:c>
      <x:c r="G93" s="19" t="n">
        <x:v>90</x:v>
      </x:c>
      <x:c r="H93" s="19" t="n">
        <x:v>42</x:v>
      </x:c>
      <x:c r="I93" s="17" t="n">
        <x:v>0.1</x:v>
      </x:c>
      <x:c r="J93" s="19" t="n">
        <x:v>6</x:v>
      </x:c>
      <x:c r="K93" s="19" t="n">
        <x:f>E93*G93</x:f>
        <x:v>270</x:v>
      </x:c>
      <x:c r="L93" s="19" t="n">
        <x:f>K93*I93</x:f>
        <x:v>27</x:v>
      </x:c>
      <x:c r="M93" s="19" t="n">
        <x:f>(E93-F93)*G93*(1-I93)</x:f>
        <x:v>81</x:v>
      </x:c>
      <x:c r="N93" s="19" t="n">
        <x:f>(E93-F93)*H93</x:f>
        <x:v>42</x:v>
      </x:c>
      <x:c r="O93" s="19" t="n">
        <x:f>F93*J93</x:f>
        <x:v>12</x:v>
      </x:c>
      <x:c r="P93" s="19" t="n">
        <x:f>M93-N93-O93</x:f>
        <x:v>27</x:v>
      </x:c>
    </x:row>
    <x:row r="94">
      <x:c r="A94" s="15" t="str">
        <x:v>SIM-0090</x:v>
      </x:c>
      <x:c r="B94" s="15" t="str">
        <x:v>2026-01</x:v>
      </x:c>
      <x:c r="C94" s="15" t="str">
        <x:v>Calzado</x:v>
      </x:c>
      <x:c r="D94" s="15" t="str">
        <x:v>Tienda</x:v>
      </x:c>
      <x:c r="E94" s="15" t="n">
        <x:v>1</x:v>
      </x:c>
      <x:c r="F94" s="15" t="n">
        <x:v>0</x:v>
      </x:c>
      <x:c r="G94" s="19" t="n">
        <x:v>90</x:v>
      </x:c>
      <x:c r="H94" s="19" t="n">
        <x:v>42</x:v>
      </x:c>
      <x:c r="I94" s="17" t="n">
        <x:v>0.1</x:v>
      </x:c>
      <x:c r="J94" s="19" t="n">
        <x:v>2</x:v>
      </x:c>
      <x:c r="K94" s="19" t="n">
        <x:f>E94*G94</x:f>
        <x:v>90</x:v>
      </x:c>
      <x:c r="L94" s="19" t="n">
        <x:f>K94*I94</x:f>
        <x:v>9</x:v>
      </x:c>
      <x:c r="M94" s="19" t="n">
        <x:f>(E94-F94)*G94*(1-I94)</x:f>
        <x:v>81</x:v>
      </x:c>
      <x:c r="N94" s="19" t="n">
        <x:f>(E94-F94)*H94</x:f>
        <x:v>42</x:v>
      </x:c>
      <x:c r="O94" s="19" t="n">
        <x:f>F94*J94</x:f>
        <x:v>0</x:v>
      </x:c>
      <x:c r="P94" s="19" t="n">
        <x:f>M94-N94-O94</x:f>
        <x:v>39</x:v>
      </x:c>
    </x:row>
    <x:row r="95">
      <x:c r="A95" s="15" t="str">
        <x:v>SIM-0091</x:v>
      </x:c>
      <x:c r="B95" s="15" t="str">
        <x:v>2026-01</x:v>
      </x:c>
      <x:c r="C95" s="15" t="str">
        <x:v>Prendas</x:v>
      </x:c>
      <x:c r="D95" s="15" t="str">
        <x:v>Online</x:v>
      </x:c>
      <x:c r="E95" s="15" t="n">
        <x:v>1</x:v>
      </x:c>
      <x:c r="F95" s="15" t="n">
        <x:v>0</x:v>
      </x:c>
      <x:c r="G95" s="19" t="n">
        <x:v>60</x:v>
      </x:c>
      <x:c r="H95" s="19" t="n">
        <x:v>24</x:v>
      </x:c>
      <x:c r="I95" s="17" t="n">
        <x:v>0.2</x:v>
      </x:c>
      <x:c r="J95" s="19" t="n">
        <x:v>6</x:v>
      </x:c>
      <x:c r="K95" s="19" t="n">
        <x:f>E95*G95</x:f>
        <x:v>60</x:v>
      </x:c>
      <x:c r="L95" s="19" t="n">
        <x:f>K95*I95</x:f>
        <x:v>12</x:v>
      </x:c>
      <x:c r="M95" s="19" t="n">
        <x:f>(E95-F95)*G95*(1-I95)</x:f>
        <x:v>48</x:v>
      </x:c>
      <x:c r="N95" s="19" t="n">
        <x:f>(E95-F95)*H95</x:f>
        <x:v>24</x:v>
      </x:c>
      <x:c r="O95" s="19" t="n">
        <x:f>F95*J95</x:f>
        <x:v>0</x:v>
      </x:c>
      <x:c r="P95" s="19" t="n">
        <x:f>M95-N95-O95</x:f>
        <x:v>24</x:v>
      </x:c>
    </x:row>
    <x:row r="96">
      <x:c r="A96" s="15" t="str">
        <x:v>SIM-0092</x:v>
      </x:c>
      <x:c r="B96" s="15" t="str">
        <x:v>2026-01</x:v>
      </x:c>
      <x:c r="C96" s="15" t="str">
        <x:v>Prendas</x:v>
      </x:c>
      <x:c r="D96" s="15" t="str">
        <x:v>Online</x:v>
      </x:c>
      <x:c r="E96" s="15" t="n">
        <x:v>1</x:v>
      </x:c>
      <x:c r="F96" s="15" t="n">
        <x:v>0</x:v>
      </x:c>
      <x:c r="G96" s="19" t="n">
        <x:v>60</x:v>
      </x:c>
      <x:c r="H96" s="19" t="n">
        <x:v>24</x:v>
      </x:c>
      <x:c r="I96" s="17" t="n">
        <x:v>0.2</x:v>
      </x:c>
      <x:c r="J96" s="19" t="n">
        <x:v>6</x:v>
      </x:c>
      <x:c r="K96" s="19" t="n">
        <x:f>E96*G96</x:f>
        <x:v>60</x:v>
      </x:c>
      <x:c r="L96" s="19" t="n">
        <x:f>K96*I96</x:f>
        <x:v>12</x:v>
      </x:c>
      <x:c r="M96" s="19" t="n">
        <x:f>(E96-F96)*G96*(1-I96)</x:f>
        <x:v>48</x:v>
      </x:c>
      <x:c r="N96" s="19" t="n">
        <x:f>(E96-F96)*H96</x:f>
        <x:v>24</x:v>
      </x:c>
      <x:c r="O96" s="19" t="n">
        <x:f>F96*J96</x:f>
        <x:v>0</x:v>
      </x:c>
      <x:c r="P96" s="19" t="n">
        <x:f>M96-N96-O96</x:f>
        <x:v>24</x:v>
      </x:c>
    </x:row>
    <x:row r="97">
      <x:c r="A97" s="15" t="str">
        <x:v>SIM-0093</x:v>
      </x:c>
      <x:c r="B97" s="15" t="str">
        <x:v>2026-01</x:v>
      </x:c>
      <x:c r="C97" s="15" t="str">
        <x:v>Prendas</x:v>
      </x:c>
      <x:c r="D97" s="15" t="str">
        <x:v>Online</x:v>
      </x:c>
      <x:c r="E97" s="15" t="n">
        <x:v>2</x:v>
      </x:c>
      <x:c r="F97" s="15" t="n">
        <x:v>0</x:v>
      </x:c>
      <x:c r="G97" s="19" t="n">
        <x:v>60</x:v>
      </x:c>
      <x:c r="H97" s="19" t="n">
        <x:v>24</x:v>
      </x:c>
      <x:c r="I97" s="17" t="n">
        <x:v>0</x:v>
      </x:c>
      <x:c r="J97" s="19" t="n">
        <x:v>6</x:v>
      </x:c>
      <x:c r="K97" s="19" t="n">
        <x:f>E97*G97</x:f>
        <x:v>120</x:v>
      </x:c>
      <x:c r="L97" s="19" t="n">
        <x:f>K97*I97</x:f>
        <x:v>0</x:v>
      </x:c>
      <x:c r="M97" s="19" t="n">
        <x:f>(E97-F97)*G97*(1-I97)</x:f>
        <x:v>120</x:v>
      </x:c>
      <x:c r="N97" s="19" t="n">
        <x:f>(E97-F97)*H97</x:f>
        <x:v>48</x:v>
      </x:c>
      <x:c r="O97" s="19" t="n">
        <x:f>F97*J97</x:f>
        <x:v>0</x:v>
      </x:c>
      <x:c r="P97" s="19" t="n">
        <x:f>M97-N97-O97</x:f>
        <x:v>72</x:v>
      </x:c>
    </x:row>
    <x:row r="98">
      <x:c r="A98" s="15" t="str">
        <x:v>SIM-0094</x:v>
      </x:c>
      <x:c r="B98" s="15" t="str">
        <x:v>2026-01</x:v>
      </x:c>
      <x:c r="C98" s="15" t="str">
        <x:v>Prendas</x:v>
      </x:c>
      <x:c r="D98" s="15" t="str">
        <x:v>Tienda</x:v>
      </x:c>
      <x:c r="E98" s="15" t="n">
        <x:v>1</x:v>
      </x:c>
      <x:c r="F98" s="15" t="n">
        <x:v>0</x:v>
      </x:c>
      <x:c r="G98" s="19" t="n">
        <x:v>60</x:v>
      </x:c>
      <x:c r="H98" s="19" t="n">
        <x:v>24</x:v>
      </x:c>
      <x:c r="I98" s="17" t="n">
        <x:v>0.2</x:v>
      </x:c>
      <x:c r="J98" s="19" t="n">
        <x:v>2</x:v>
      </x:c>
      <x:c r="K98" s="19" t="n">
        <x:f>E98*G98</x:f>
        <x:v>60</x:v>
      </x:c>
      <x:c r="L98" s="19" t="n">
        <x:f>K98*I98</x:f>
        <x:v>12</x:v>
      </x:c>
      <x:c r="M98" s="19" t="n">
        <x:f>(E98-F98)*G98*(1-I98)</x:f>
        <x:v>48</x:v>
      </x:c>
      <x:c r="N98" s="19" t="n">
        <x:f>(E98-F98)*H98</x:f>
        <x:v>24</x:v>
      </x:c>
      <x:c r="O98" s="19" t="n">
        <x:f>F98*J98</x:f>
        <x:v>0</x:v>
      </x:c>
      <x:c r="P98" s="19" t="n">
        <x:f>M98-N98-O98</x:f>
        <x:v>24</x:v>
      </x:c>
    </x:row>
    <x:row r="99">
      <x:c r="A99" s="15" t="str">
        <x:v>SIM-0095</x:v>
      </x:c>
      <x:c r="B99" s="15" t="str">
        <x:v>2026-01</x:v>
      </x:c>
      <x:c r="C99" s="15" t="str">
        <x:v>Prendas</x:v>
      </x:c>
      <x:c r="D99" s="15" t="str">
        <x:v>Online</x:v>
      </x:c>
      <x:c r="E99" s="15" t="n">
        <x:v>1</x:v>
      </x:c>
      <x:c r="F99" s="15" t="n">
        <x:v>0</x:v>
      </x:c>
      <x:c r="G99" s="19" t="n">
        <x:v>60</x:v>
      </x:c>
      <x:c r="H99" s="19" t="n">
        <x:v>24</x:v>
      </x:c>
      <x:c r="I99" s="17" t="n">
        <x:v>0.1</x:v>
      </x:c>
      <x:c r="J99" s="19" t="n">
        <x:v>6</x:v>
      </x:c>
      <x:c r="K99" s="19" t="n">
        <x:f>E99*G99</x:f>
        <x:v>60</x:v>
      </x:c>
      <x:c r="L99" s="19" t="n">
        <x:f>K99*I99</x:f>
        <x:v>6</x:v>
      </x:c>
      <x:c r="M99" s="19" t="n">
        <x:f>(E99-F99)*G99*(1-I99)</x:f>
        <x:v>54</x:v>
      </x:c>
      <x:c r="N99" s="19" t="n">
        <x:f>(E99-F99)*H99</x:f>
        <x:v>24</x:v>
      </x:c>
      <x:c r="O99" s="19" t="n">
        <x:f>F99*J99</x:f>
        <x:v>0</x:v>
      </x:c>
      <x:c r="P99" s="19" t="n">
        <x:f>M99-N99-O99</x:f>
        <x:v>30</x:v>
      </x:c>
    </x:row>
    <x:row r="100">
      <x:c r="A100" s="15" t="str">
        <x:v>SIM-0096</x:v>
      </x:c>
      <x:c r="B100" s="15" t="str">
        <x:v>2026-01</x:v>
      </x:c>
      <x:c r="C100" s="15" t="str">
        <x:v>Prendas</x:v>
      </x:c>
      <x:c r="D100" s="15" t="str">
        <x:v>Online</x:v>
      </x:c>
      <x:c r="E100" s="15" t="n">
        <x:v>2</x:v>
      </x:c>
      <x:c r="F100" s="15" t="n">
        <x:v>0</x:v>
      </x:c>
      <x:c r="G100" s="19" t="n">
        <x:v>60</x:v>
      </x:c>
      <x:c r="H100" s="19" t="n">
        <x:v>24</x:v>
      </x:c>
      <x:c r="I100" s="17" t="n">
        <x:v>0</x:v>
      </x:c>
      <x:c r="J100" s="19" t="n">
        <x:v>6</x:v>
      </x:c>
      <x:c r="K100" s="19" t="n">
        <x:f>E100*G100</x:f>
        <x:v>120</x:v>
      </x:c>
      <x:c r="L100" s="19" t="n">
        <x:f>K100*I100</x:f>
        <x:v>0</x:v>
      </x:c>
      <x:c r="M100" s="19" t="n">
        <x:f>(E100-F100)*G100*(1-I100)</x:f>
        <x:v>120</x:v>
      </x:c>
      <x:c r="N100" s="19" t="n">
        <x:f>(E100-F100)*H100</x:f>
        <x:v>48</x:v>
      </x:c>
      <x:c r="O100" s="19" t="n">
        <x:f>F100*J100</x:f>
        <x:v>0</x:v>
      </x:c>
      <x:c r="P100" s="19" t="n">
        <x:f>M100-N100-O100</x:f>
        <x:v>72</x:v>
      </x:c>
    </x:row>
    <x:row r="101">
      <x:c r="A101" s="15" t="str">
        <x:v>SIM-0097</x:v>
      </x:c>
      <x:c r="B101" s="15" t="str">
        <x:v>2026-01</x:v>
      </x:c>
      <x:c r="C101" s="15" t="str">
        <x:v>Accesorios</x:v>
      </x:c>
      <x:c r="D101" s="15" t="str">
        <x:v>Online</x:v>
      </x:c>
      <x:c r="E101" s="15" t="n">
        <x:v>1</x:v>
      </x:c>
      <x:c r="F101" s="15" t="n">
        <x:v>0</x:v>
      </x:c>
      <x:c r="G101" s="19" t="n">
        <x:v>30</x:v>
      </x:c>
      <x:c r="H101" s="19" t="n">
        <x:v>9</x:v>
      </x:c>
      <x:c r="I101" s="17" t="n">
        <x:v>0</x:v>
      </x:c>
      <x:c r="J101" s="19" t="n">
        <x:v>6</x:v>
      </x:c>
      <x:c r="K101" s="19" t="n">
        <x:f>E101*G101</x:f>
        <x:v>30</x:v>
      </x:c>
      <x:c r="L101" s="19" t="n">
        <x:f>K101*I101</x:f>
        <x:v>0</x:v>
      </x:c>
      <x:c r="M101" s="19" t="n">
        <x:f>(E101-F101)*G101*(1-I101)</x:f>
        <x:v>30</x:v>
      </x:c>
      <x:c r="N101" s="19" t="n">
        <x:f>(E101-F101)*H101</x:f>
        <x:v>9</x:v>
      </x:c>
      <x:c r="O101" s="19" t="n">
        <x:f>F101*J101</x:f>
        <x:v>0</x:v>
      </x:c>
      <x:c r="P101" s="19" t="n">
        <x:f>M101-N101-O101</x:f>
        <x:v>21</x:v>
      </x:c>
    </x:row>
    <x:row r="102">
      <x:c r="A102" s="15" t="str">
        <x:v>SIM-0098</x:v>
      </x:c>
      <x:c r="B102" s="15" t="str">
        <x:v>2026-01</x:v>
      </x:c>
      <x:c r="C102" s="15" t="str">
        <x:v>Prendas</x:v>
      </x:c>
      <x:c r="D102" s="15" t="str">
        <x:v>Online</x:v>
      </x:c>
      <x:c r="E102" s="15" t="n">
        <x:v>1</x:v>
      </x:c>
      <x:c r="F102" s="15" t="n">
        <x:v>0</x:v>
      </x:c>
      <x:c r="G102" s="19" t="n">
        <x:v>60</x:v>
      </x:c>
      <x:c r="H102" s="19" t="n">
        <x:v>24</x:v>
      </x:c>
      <x:c r="I102" s="17" t="n">
        <x:v>0</x:v>
      </x:c>
      <x:c r="J102" s="19" t="n">
        <x:v>6</x:v>
      </x:c>
      <x:c r="K102" s="19" t="n">
        <x:f>E102*G102</x:f>
        <x:v>60</x:v>
      </x:c>
      <x:c r="L102" s="19" t="n">
        <x:f>K102*I102</x:f>
        <x:v>0</x:v>
      </x:c>
      <x:c r="M102" s="19" t="n">
        <x:f>(E102-F102)*G102*(1-I102)</x:f>
        <x:v>60</x:v>
      </x:c>
      <x:c r="N102" s="19" t="n">
        <x:f>(E102-F102)*H102</x:f>
        <x:v>24</x:v>
      </x:c>
      <x:c r="O102" s="19" t="n">
        <x:f>F102*J102</x:f>
        <x:v>0</x:v>
      </x:c>
      <x:c r="P102" s="19" t="n">
        <x:f>M102-N102-O102</x:f>
        <x:v>36</x:v>
      </x:c>
    </x:row>
    <x:row r="103">
      <x:c r="A103" s="15" t="str">
        <x:v>SIM-0099</x:v>
      </x:c>
      <x:c r="B103" s="15" t="str">
        <x:v>2026-01</x:v>
      </x:c>
      <x:c r="C103" s="15" t="str">
        <x:v>Calzado</x:v>
      </x:c>
      <x:c r="D103" s="15" t="str">
        <x:v>Tienda</x:v>
      </x:c>
      <x:c r="E103" s="15" t="n">
        <x:v>1</x:v>
      </x:c>
      <x:c r="F103" s="15" t="n">
        <x:v>0</x:v>
      </x:c>
      <x:c r="G103" s="19" t="n">
        <x:v>90</x:v>
      </x:c>
      <x:c r="H103" s="19" t="n">
        <x:v>42</x:v>
      </x:c>
      <x:c r="I103" s="17" t="n">
        <x:v>0.3</x:v>
      </x:c>
      <x:c r="J103" s="19" t="n">
        <x:v>2</x:v>
      </x:c>
      <x:c r="K103" s="19" t="n">
        <x:f>E103*G103</x:f>
        <x:v>90</x:v>
      </x:c>
      <x:c r="L103" s="19" t="n">
        <x:f>K103*I103</x:f>
        <x:v>27</x:v>
      </x:c>
      <x:c r="M103" s="19" t="n">
        <x:f>(E103-F103)*G103*(1-I103)</x:f>
        <x:v>62.99999999999999</x:v>
      </x:c>
      <x:c r="N103" s="19" t="n">
        <x:f>(E103-F103)*H103</x:f>
        <x:v>42</x:v>
      </x:c>
      <x:c r="O103" s="19" t="n">
        <x:f>F103*J103</x:f>
        <x:v>0</x:v>
      </x:c>
      <x:c r="P103" s="19" t="n">
        <x:f>M103-N103-O103</x:f>
        <x:v>20.999999999999993</x:v>
      </x:c>
    </x:row>
    <x:row r="104">
      <x:c r="A104" s="15" t="str">
        <x:v>SIM-0100</x:v>
      </x:c>
      <x:c r="B104" s="15" t="str">
        <x:v>2026-01</x:v>
      </x:c>
      <x:c r="C104" s="15" t="str">
        <x:v>Calzado</x:v>
      </x:c>
      <x:c r="D104" s="15" t="str">
        <x:v>Online</x:v>
      </x:c>
      <x:c r="E104" s="15" t="n">
        <x:v>1</x:v>
      </x:c>
      <x:c r="F104" s="15" t="n">
        <x:v>0</x:v>
      </x:c>
      <x:c r="G104" s="19" t="n">
        <x:v>90</x:v>
      </x:c>
      <x:c r="H104" s="19" t="n">
        <x:v>42</x:v>
      </x:c>
      <x:c r="I104" s="17" t="n">
        <x:v>0.3</x:v>
      </x:c>
      <x:c r="J104" s="19" t="n">
        <x:v>6</x:v>
      </x:c>
      <x:c r="K104" s="19" t="n">
        <x:f>E104*G104</x:f>
        <x:v>90</x:v>
      </x:c>
      <x:c r="L104" s="19" t="n">
        <x:f>K104*I104</x:f>
        <x:v>27</x:v>
      </x:c>
      <x:c r="M104" s="19" t="n">
        <x:f>(E104-F104)*G104*(1-I104)</x:f>
        <x:v>62.99999999999999</x:v>
      </x:c>
      <x:c r="N104" s="19" t="n">
        <x:f>(E104-F104)*H104</x:f>
        <x:v>42</x:v>
      </x:c>
      <x:c r="O104" s="19" t="n">
        <x:f>F104*J104</x:f>
        <x:v>0</x:v>
      </x:c>
      <x:c r="P104" s="19" t="n">
        <x:f>M104-N104-O104</x:f>
        <x:v>20.999999999999993</x:v>
      </x:c>
    </x:row>
    <x:row r="105">
      <x:c r="A105" s="15" t="str">
        <x:v>SIM-0101</x:v>
      </x:c>
      <x:c r="B105" s="15" t="str">
        <x:v>2026-01</x:v>
      </x:c>
      <x:c r="C105" s="15" t="str">
        <x:v>Prendas</x:v>
      </x:c>
      <x:c r="D105" s="15" t="str">
        <x:v>Tienda</x:v>
      </x:c>
      <x:c r="E105" s="15" t="n">
        <x:v>1</x:v>
      </x:c>
      <x:c r="F105" s="15" t="n">
        <x:v>0</x:v>
      </x:c>
      <x:c r="G105" s="19" t="n">
        <x:v>60</x:v>
      </x:c>
      <x:c r="H105" s="19" t="n">
        <x:v>24</x:v>
      </x:c>
      <x:c r="I105" s="17" t="n">
        <x:v>0.3</x:v>
      </x:c>
      <x:c r="J105" s="19" t="n">
        <x:v>2</x:v>
      </x:c>
      <x:c r="K105" s="19" t="n">
        <x:f>E105*G105</x:f>
        <x:v>60</x:v>
      </x:c>
      <x:c r="L105" s="19" t="n">
        <x:f>K105*I105</x:f>
        <x:v>18</x:v>
      </x:c>
      <x:c r="M105" s="19" t="n">
        <x:f>(E105-F105)*G105*(1-I105)</x:f>
        <x:v>42</x:v>
      </x:c>
      <x:c r="N105" s="19" t="n">
        <x:f>(E105-F105)*H105</x:f>
        <x:v>24</x:v>
      </x:c>
      <x:c r="O105" s="19" t="n">
        <x:f>F105*J105</x:f>
        <x:v>0</x:v>
      </x:c>
      <x:c r="P105" s="19" t="n">
        <x:f>M105-N105-O105</x:f>
        <x:v>18</x:v>
      </x:c>
    </x:row>
    <x:row r="106">
      <x:c r="A106" s="15" t="str">
        <x:v>SIM-0102</x:v>
      </x:c>
      <x:c r="B106" s="15" t="str">
        <x:v>2026-01</x:v>
      </x:c>
      <x:c r="C106" s="15" t="str">
        <x:v>Prendas</x:v>
      </x:c>
      <x:c r="D106" s="15" t="str">
        <x:v>Online</x:v>
      </x:c>
      <x:c r="E106" s="15" t="n">
        <x:v>1</x:v>
      </x:c>
      <x:c r="F106" s="15" t="n">
        <x:v>0</x:v>
      </x:c>
      <x:c r="G106" s="19" t="n">
        <x:v>60</x:v>
      </x:c>
      <x:c r="H106" s="19" t="n">
        <x:v>24</x:v>
      </x:c>
      <x:c r="I106" s="17" t="n">
        <x:v>0</x:v>
      </x:c>
      <x:c r="J106" s="19" t="n">
        <x:v>6</x:v>
      </x:c>
      <x:c r="K106" s="19" t="n">
        <x:f>E106*G106</x:f>
        <x:v>60</x:v>
      </x:c>
      <x:c r="L106" s="19" t="n">
        <x:f>K106*I106</x:f>
        <x:v>0</x:v>
      </x:c>
      <x:c r="M106" s="19" t="n">
        <x:f>(E106-F106)*G106*(1-I106)</x:f>
        <x:v>60</x:v>
      </x:c>
      <x:c r="N106" s="19" t="n">
        <x:f>(E106-F106)*H106</x:f>
        <x:v>24</x:v>
      </x:c>
      <x:c r="O106" s="19" t="n">
        <x:f>F106*J106</x:f>
        <x:v>0</x:v>
      </x:c>
      <x:c r="P106" s="19" t="n">
        <x:f>M106-N106-O106</x:f>
        <x:v>36</x:v>
      </x:c>
    </x:row>
    <x:row r="107">
      <x:c r="A107" s="15" t="str">
        <x:v>SIM-0103</x:v>
      </x:c>
      <x:c r="B107" s="15" t="str">
        <x:v>2026-01</x:v>
      </x:c>
      <x:c r="C107" s="15" t="str">
        <x:v>Calzado</x:v>
      </x:c>
      <x:c r="D107" s="15" t="str">
        <x:v>Online</x:v>
      </x:c>
      <x:c r="E107" s="15" t="n">
        <x:v>1</x:v>
      </x:c>
      <x:c r="F107" s="15" t="n">
        <x:v>0</x:v>
      </x:c>
      <x:c r="G107" s="19" t="n">
        <x:v>90</x:v>
      </x:c>
      <x:c r="H107" s="19" t="n">
        <x:v>42</x:v>
      </x:c>
      <x:c r="I107" s="17" t="n">
        <x:v>0</x:v>
      </x:c>
      <x:c r="J107" s="19" t="n">
        <x:v>6</x:v>
      </x:c>
      <x:c r="K107" s="19" t="n">
        <x:f>E107*G107</x:f>
        <x:v>90</x:v>
      </x:c>
      <x:c r="L107" s="19" t="n">
        <x:f>K107*I107</x:f>
        <x:v>0</x:v>
      </x:c>
      <x:c r="M107" s="19" t="n">
        <x:f>(E107-F107)*G107*(1-I107)</x:f>
        <x:v>90</x:v>
      </x:c>
      <x:c r="N107" s="19" t="n">
        <x:f>(E107-F107)*H107</x:f>
        <x:v>42</x:v>
      </x:c>
      <x:c r="O107" s="19" t="n">
        <x:f>F107*J107</x:f>
        <x:v>0</x:v>
      </x:c>
      <x:c r="P107" s="19" t="n">
        <x:f>M107-N107-O107</x:f>
        <x:v>48</x:v>
      </x:c>
    </x:row>
    <x:row r="108">
      <x:c r="A108" s="15" t="str">
        <x:v>SIM-0104</x:v>
      </x:c>
      <x:c r="B108" s="15" t="str">
        <x:v>2026-01</x:v>
      </x:c>
      <x:c r="C108" s="15" t="str">
        <x:v>Calzado</x:v>
      </x:c>
      <x:c r="D108" s="15" t="str">
        <x:v>Tienda</x:v>
      </x:c>
      <x:c r="E108" s="15" t="n">
        <x:v>2</x:v>
      </x:c>
      <x:c r="F108" s="15" t="n">
        <x:v>0</x:v>
      </x:c>
      <x:c r="G108" s="19" t="n">
        <x:v>90</x:v>
      </x:c>
      <x:c r="H108" s="19" t="n">
        <x:v>42</x:v>
      </x:c>
      <x:c r="I108" s="17" t="n">
        <x:v>0</x:v>
      </x:c>
      <x:c r="J108" s="19" t="n">
        <x:v>2</x:v>
      </x:c>
      <x:c r="K108" s="19" t="n">
        <x:f>E108*G108</x:f>
        <x:v>180</x:v>
      </x:c>
      <x:c r="L108" s="19" t="n">
        <x:f>K108*I108</x:f>
        <x:v>0</x:v>
      </x:c>
      <x:c r="M108" s="19" t="n">
        <x:f>(E108-F108)*G108*(1-I108)</x:f>
        <x:v>180</x:v>
      </x:c>
      <x:c r="N108" s="19" t="n">
        <x:f>(E108-F108)*H108</x:f>
        <x:v>84</x:v>
      </x:c>
      <x:c r="O108" s="19" t="n">
        <x:f>F108*J108</x:f>
        <x:v>0</x:v>
      </x:c>
      <x:c r="P108" s="19" t="n">
        <x:f>M108-N108-O108</x:f>
        <x:v>96</x:v>
      </x:c>
    </x:row>
    <x:row r="109">
      <x:c r="A109" s="15" t="str">
        <x:v>SIM-0105</x:v>
      </x:c>
      <x:c r="B109" s="15" t="str">
        <x:v>2026-01</x:v>
      </x:c>
      <x:c r="C109" s="15" t="str">
        <x:v>Prendas</x:v>
      </x:c>
      <x:c r="D109" s="15" t="str">
        <x:v>Tienda</x:v>
      </x:c>
      <x:c r="E109" s="15" t="n">
        <x:v>1</x:v>
      </x:c>
      <x:c r="F109" s="15" t="n">
        <x:v>0</x:v>
      </x:c>
      <x:c r="G109" s="19" t="n">
        <x:v>60</x:v>
      </x:c>
      <x:c r="H109" s="19" t="n">
        <x:v>24</x:v>
      </x:c>
      <x:c r="I109" s="17" t="n">
        <x:v>0</x:v>
      </x:c>
      <x:c r="J109" s="19" t="n">
        <x:v>2</x:v>
      </x:c>
      <x:c r="K109" s="19" t="n">
        <x:f>E109*G109</x:f>
        <x:v>60</x:v>
      </x:c>
      <x:c r="L109" s="19" t="n">
        <x:f>K109*I109</x:f>
        <x:v>0</x:v>
      </x:c>
      <x:c r="M109" s="19" t="n">
        <x:f>(E109-F109)*G109*(1-I109)</x:f>
        <x:v>60</x:v>
      </x:c>
      <x:c r="N109" s="19" t="n">
        <x:f>(E109-F109)*H109</x:f>
        <x:v>24</x:v>
      </x:c>
      <x:c r="O109" s="19" t="n">
        <x:f>F109*J109</x:f>
        <x:v>0</x:v>
      </x:c>
      <x:c r="P109" s="19" t="n">
        <x:f>M109-N109-O109</x:f>
        <x:v>36</x:v>
      </x:c>
    </x:row>
    <x:row r="110">
      <x:c r="A110" s="15" t="str">
        <x:v>SIM-0106</x:v>
      </x:c>
      <x:c r="B110" s="15" t="str">
        <x:v>2026-01</x:v>
      </x:c>
      <x:c r="C110" s="15" t="str">
        <x:v>Calzado</x:v>
      </x:c>
      <x:c r="D110" s="15" t="str">
        <x:v>Tienda</x:v>
      </x:c>
      <x:c r="E110" s="15" t="n">
        <x:v>2</x:v>
      </x:c>
      <x:c r="F110" s="15" t="n">
        <x:v>0</x:v>
      </x:c>
      <x:c r="G110" s="19" t="n">
        <x:v>90</x:v>
      </x:c>
      <x:c r="H110" s="19" t="n">
        <x:v>42</x:v>
      </x:c>
      <x:c r="I110" s="17" t="n">
        <x:v>0</x:v>
      </x:c>
      <x:c r="J110" s="19" t="n">
        <x:v>2</x:v>
      </x:c>
      <x:c r="K110" s="19" t="n">
        <x:f>E110*G110</x:f>
        <x:v>180</x:v>
      </x:c>
      <x:c r="L110" s="19" t="n">
        <x:f>K110*I110</x:f>
        <x:v>0</x:v>
      </x:c>
      <x:c r="M110" s="19" t="n">
        <x:f>(E110-F110)*G110*(1-I110)</x:f>
        <x:v>180</x:v>
      </x:c>
      <x:c r="N110" s="19" t="n">
        <x:f>(E110-F110)*H110</x:f>
        <x:v>84</x:v>
      </x:c>
      <x:c r="O110" s="19" t="n">
        <x:f>F110*J110</x:f>
        <x:v>0</x:v>
      </x:c>
      <x:c r="P110" s="19" t="n">
        <x:f>M110-N110-O110</x:f>
        <x:v>96</x:v>
      </x:c>
    </x:row>
    <x:row r="111">
      <x:c r="A111" s="15" t="str">
        <x:v>SIM-0107</x:v>
      </x:c>
      <x:c r="B111" s="15" t="str">
        <x:v>2026-01</x:v>
      </x:c>
      <x:c r="C111" s="15" t="str">
        <x:v>Accesorios</x:v>
      </x:c>
      <x:c r="D111" s="15" t="str">
        <x:v>Online</x:v>
      </x:c>
      <x:c r="E111" s="15" t="n">
        <x:v>1</x:v>
      </x:c>
      <x:c r="F111" s="15" t="n">
        <x:v>0</x:v>
      </x:c>
      <x:c r="G111" s="19" t="n">
        <x:v>30</x:v>
      </x:c>
      <x:c r="H111" s="19" t="n">
        <x:v>9</x:v>
      </x:c>
      <x:c r="I111" s="17" t="n">
        <x:v>0.1</x:v>
      </x:c>
      <x:c r="J111" s="19" t="n">
        <x:v>6</x:v>
      </x:c>
      <x:c r="K111" s="19" t="n">
        <x:f>E111*G111</x:f>
        <x:v>30</x:v>
      </x:c>
      <x:c r="L111" s="19" t="n">
        <x:f>K111*I111</x:f>
        <x:v>3</x:v>
      </x:c>
      <x:c r="M111" s="19" t="n">
        <x:f>(E111-F111)*G111*(1-I111)</x:f>
        <x:v>27</x:v>
      </x:c>
      <x:c r="N111" s="19" t="n">
        <x:f>(E111-F111)*H111</x:f>
        <x:v>9</x:v>
      </x:c>
      <x:c r="O111" s="19" t="n">
        <x:f>F111*J111</x:f>
        <x:v>0</x:v>
      </x:c>
      <x:c r="P111" s="19" t="n">
        <x:f>M111-N111-O111</x:f>
        <x:v>18</x:v>
      </x:c>
    </x:row>
    <x:row r="112">
      <x:c r="A112" s="15" t="str">
        <x:v>SIM-0108</x:v>
      </x:c>
      <x:c r="B112" s="15" t="str">
        <x:v>2026-01</x:v>
      </x:c>
      <x:c r="C112" s="15" t="str">
        <x:v>Prendas</x:v>
      </x:c>
      <x:c r="D112" s="15" t="str">
        <x:v>Online</x:v>
      </x:c>
      <x:c r="E112" s="15" t="n">
        <x:v>1</x:v>
      </x:c>
      <x:c r="F112" s="15" t="n">
        <x:v>0</x:v>
      </x:c>
      <x:c r="G112" s="19" t="n">
        <x:v>60</x:v>
      </x:c>
      <x:c r="H112" s="19" t="n">
        <x:v>24</x:v>
      </x:c>
      <x:c r="I112" s="17" t="n">
        <x:v>0</x:v>
      </x:c>
      <x:c r="J112" s="19" t="n">
        <x:v>6</x:v>
      </x:c>
      <x:c r="K112" s="19" t="n">
        <x:f>E112*G112</x:f>
        <x:v>60</x:v>
      </x:c>
      <x:c r="L112" s="19" t="n">
        <x:f>K112*I112</x:f>
        <x:v>0</x:v>
      </x:c>
      <x:c r="M112" s="19" t="n">
        <x:f>(E112-F112)*G112*(1-I112)</x:f>
        <x:v>60</x:v>
      </x:c>
      <x:c r="N112" s="19" t="n">
        <x:f>(E112-F112)*H112</x:f>
        <x:v>24</x:v>
      </x:c>
      <x:c r="O112" s="19" t="n">
        <x:f>F112*J112</x:f>
        <x:v>0</x:v>
      </x:c>
      <x:c r="P112" s="19" t="n">
        <x:f>M112-N112-O112</x:f>
        <x:v>36</x:v>
      </x:c>
    </x:row>
    <x:row r="113">
      <x:c r="A113" s="15" t="str">
        <x:v>SIM-0109</x:v>
      </x:c>
      <x:c r="B113" s="15" t="str">
        <x:v>2026-01</x:v>
      </x:c>
      <x:c r="C113" s="15" t="str">
        <x:v>Prendas</x:v>
      </x:c>
      <x:c r="D113" s="15" t="str">
        <x:v>Online</x:v>
      </x:c>
      <x:c r="E113" s="15" t="n">
        <x:v>3</x:v>
      </x:c>
      <x:c r="F113" s="15" t="n">
        <x:v>1</x:v>
      </x:c>
      <x:c r="G113" s="19" t="n">
        <x:v>60</x:v>
      </x:c>
      <x:c r="H113" s="19" t="n">
        <x:v>24</x:v>
      </x:c>
      <x:c r="I113" s="17" t="n">
        <x:v>0.2</x:v>
      </x:c>
      <x:c r="J113" s="19" t="n">
        <x:v>6</x:v>
      </x:c>
      <x:c r="K113" s="19" t="n">
        <x:f>E113*G113</x:f>
        <x:v>180</x:v>
      </x:c>
      <x:c r="L113" s="19" t="n">
        <x:f>K113*I113</x:f>
        <x:v>36</x:v>
      </x:c>
      <x:c r="M113" s="19" t="n">
        <x:f>(E113-F113)*G113*(1-I113)</x:f>
        <x:v>96</x:v>
      </x:c>
      <x:c r="N113" s="19" t="n">
        <x:f>(E113-F113)*H113</x:f>
        <x:v>48</x:v>
      </x:c>
      <x:c r="O113" s="19" t="n">
        <x:f>F113*J113</x:f>
        <x:v>6</x:v>
      </x:c>
      <x:c r="P113" s="19" t="n">
        <x:f>M113-N113-O113</x:f>
        <x:v>42</x:v>
      </x:c>
    </x:row>
    <x:row r="114">
      <x:c r="A114" s="15" t="str">
        <x:v>SIM-0110</x:v>
      </x:c>
      <x:c r="B114" s="15" t="str">
        <x:v>2026-01</x:v>
      </x:c>
      <x:c r="C114" s="15" t="str">
        <x:v>Calzado</x:v>
      </x:c>
      <x:c r="D114" s="15" t="str">
        <x:v>Online</x:v>
      </x:c>
      <x:c r="E114" s="15" t="n">
        <x:v>2</x:v>
      </x:c>
      <x:c r="F114" s="15" t="n">
        <x:v>1</x:v>
      </x:c>
      <x:c r="G114" s="19" t="n">
        <x:v>90</x:v>
      </x:c>
      <x:c r="H114" s="19" t="n">
        <x:v>42</x:v>
      </x:c>
      <x:c r="I114" s="17" t="n">
        <x:v>0.2</x:v>
      </x:c>
      <x:c r="J114" s="19" t="n">
        <x:v>6</x:v>
      </x:c>
      <x:c r="K114" s="19" t="n">
        <x:f>E114*G114</x:f>
        <x:v>180</x:v>
      </x:c>
      <x:c r="L114" s="19" t="n">
        <x:f>K114*I114</x:f>
        <x:v>36</x:v>
      </x:c>
      <x:c r="M114" s="19" t="n">
        <x:f>(E114-F114)*G114*(1-I114)</x:f>
        <x:v>72</x:v>
      </x:c>
      <x:c r="N114" s="19" t="n">
        <x:f>(E114-F114)*H114</x:f>
        <x:v>42</x:v>
      </x:c>
      <x:c r="O114" s="19" t="n">
        <x:f>F114*J114</x:f>
        <x:v>6</x:v>
      </x:c>
      <x:c r="P114" s="19" t="n">
        <x:f>M114-N114-O114</x:f>
        <x:v>24</x:v>
      </x:c>
    </x:row>
    <x:row r="115">
      <x:c r="A115" s="15" t="str">
        <x:v>SIM-0111</x:v>
      </x:c>
      <x:c r="B115" s="15" t="str">
        <x:v>2026-01</x:v>
      </x:c>
      <x:c r="C115" s="15" t="str">
        <x:v>Prendas</x:v>
      </x:c>
      <x:c r="D115" s="15" t="str">
        <x:v>Online</x:v>
      </x:c>
      <x:c r="E115" s="15" t="n">
        <x:v>1</x:v>
      </x:c>
      <x:c r="F115" s="15" t="n">
        <x:v>0</x:v>
      </x:c>
      <x:c r="G115" s="19" t="n">
        <x:v>60</x:v>
      </x:c>
      <x:c r="H115" s="19" t="n">
        <x:v>24</x:v>
      </x:c>
      <x:c r="I115" s="17" t="n">
        <x:v>0</x:v>
      </x:c>
      <x:c r="J115" s="19" t="n">
        <x:v>6</x:v>
      </x:c>
      <x:c r="K115" s="19" t="n">
        <x:f>E115*G115</x:f>
        <x:v>60</x:v>
      </x:c>
      <x:c r="L115" s="19" t="n">
        <x:f>K115*I115</x:f>
        <x:v>0</x:v>
      </x:c>
      <x:c r="M115" s="19" t="n">
        <x:f>(E115-F115)*G115*(1-I115)</x:f>
        <x:v>60</x:v>
      </x:c>
      <x:c r="N115" s="19" t="n">
        <x:f>(E115-F115)*H115</x:f>
        <x:v>24</x:v>
      </x:c>
      <x:c r="O115" s="19" t="n">
        <x:f>F115*J115</x:f>
        <x:v>0</x:v>
      </x:c>
      <x:c r="P115" s="19" t="n">
        <x:f>M115-N115-O115</x:f>
        <x:v>36</x:v>
      </x:c>
    </x:row>
    <x:row r="116">
      <x:c r="A116" s="15" t="str">
        <x:v>SIM-0112</x:v>
      </x:c>
      <x:c r="B116" s="15" t="str">
        <x:v>2026-01</x:v>
      </x:c>
      <x:c r="C116" s="15" t="str">
        <x:v>Accesorios</x:v>
      </x:c>
      <x:c r="D116" s="15" t="str">
        <x:v>Online</x:v>
      </x:c>
      <x:c r="E116" s="15" t="n">
        <x:v>1</x:v>
      </x:c>
      <x:c r="F116" s="15" t="n">
        <x:v>0</x:v>
      </x:c>
      <x:c r="G116" s="19" t="n">
        <x:v>30</x:v>
      </x:c>
      <x:c r="H116" s="19" t="n">
        <x:v>9</x:v>
      </x:c>
      <x:c r="I116" s="17" t="n">
        <x:v>0.1</x:v>
      </x:c>
      <x:c r="J116" s="19" t="n">
        <x:v>6</x:v>
      </x:c>
      <x:c r="K116" s="19" t="n">
        <x:f>E116*G116</x:f>
        <x:v>30</x:v>
      </x:c>
      <x:c r="L116" s="19" t="n">
        <x:f>K116*I116</x:f>
        <x:v>3</x:v>
      </x:c>
      <x:c r="M116" s="19" t="n">
        <x:f>(E116-F116)*G116*(1-I116)</x:f>
        <x:v>27</x:v>
      </x:c>
      <x:c r="N116" s="19" t="n">
        <x:f>(E116-F116)*H116</x:f>
        <x:v>9</x:v>
      </x:c>
      <x:c r="O116" s="19" t="n">
        <x:f>F116*J116</x:f>
        <x:v>0</x:v>
      </x:c>
      <x:c r="P116" s="19" t="n">
        <x:f>M116-N116-O116</x:f>
        <x:v>18</x:v>
      </x:c>
    </x:row>
    <x:row r="117">
      <x:c r="A117" s="15" t="str">
        <x:v>SIM-0113</x:v>
      </x:c>
      <x:c r="B117" s="15" t="str">
        <x:v>2026-01</x:v>
      </x:c>
      <x:c r="C117" s="15" t="str">
        <x:v>Prendas</x:v>
      </x:c>
      <x:c r="D117" s="15" t="str">
        <x:v>Tienda</x:v>
      </x:c>
      <x:c r="E117" s="15" t="n">
        <x:v>1</x:v>
      </x:c>
      <x:c r="F117" s="15" t="n">
        <x:v>0</x:v>
      </x:c>
      <x:c r="G117" s="19" t="n">
        <x:v>60</x:v>
      </x:c>
      <x:c r="H117" s="19" t="n">
        <x:v>24</x:v>
      </x:c>
      <x:c r="I117" s="17" t="n">
        <x:v>0.2</x:v>
      </x:c>
      <x:c r="J117" s="19" t="n">
        <x:v>2</x:v>
      </x:c>
      <x:c r="K117" s="19" t="n">
        <x:f>E117*G117</x:f>
        <x:v>60</x:v>
      </x:c>
      <x:c r="L117" s="19" t="n">
        <x:f>K117*I117</x:f>
        <x:v>12</x:v>
      </x:c>
      <x:c r="M117" s="19" t="n">
        <x:f>(E117-F117)*G117*(1-I117)</x:f>
        <x:v>48</x:v>
      </x:c>
      <x:c r="N117" s="19" t="n">
        <x:f>(E117-F117)*H117</x:f>
        <x:v>24</x:v>
      </x:c>
      <x:c r="O117" s="19" t="n">
        <x:f>F117*J117</x:f>
        <x:v>0</x:v>
      </x:c>
      <x:c r="P117" s="19" t="n">
        <x:f>M117-N117-O117</x:f>
        <x:v>24</x:v>
      </x:c>
    </x:row>
    <x:row r="118">
      <x:c r="A118" s="15" t="str">
        <x:v>SIM-0114</x:v>
      </x:c>
      <x:c r="B118" s="15" t="str">
        <x:v>2026-01</x:v>
      </x:c>
      <x:c r="C118" s="15" t="str">
        <x:v>Prendas</x:v>
      </x:c>
      <x:c r="D118" s="15" t="str">
        <x:v>Online</x:v>
      </x:c>
      <x:c r="E118" s="15" t="n">
        <x:v>2</x:v>
      </x:c>
      <x:c r="F118" s="15" t="n">
        <x:v>1</x:v>
      </x:c>
      <x:c r="G118" s="19" t="n">
        <x:v>60</x:v>
      </x:c>
      <x:c r="H118" s="19" t="n">
        <x:v>24</x:v>
      </x:c>
      <x:c r="I118" s="17" t="n">
        <x:v>0.2</x:v>
      </x:c>
      <x:c r="J118" s="19" t="n">
        <x:v>6</x:v>
      </x:c>
      <x:c r="K118" s="19" t="n">
        <x:f>E118*G118</x:f>
        <x:v>120</x:v>
      </x:c>
      <x:c r="L118" s="19" t="n">
        <x:f>K118*I118</x:f>
        <x:v>24</x:v>
      </x:c>
      <x:c r="M118" s="19" t="n">
        <x:f>(E118-F118)*G118*(1-I118)</x:f>
        <x:v>48</x:v>
      </x:c>
      <x:c r="N118" s="19" t="n">
        <x:f>(E118-F118)*H118</x:f>
        <x:v>24</x:v>
      </x:c>
      <x:c r="O118" s="19" t="n">
        <x:f>F118*J118</x:f>
        <x:v>6</x:v>
      </x:c>
      <x:c r="P118" s="19" t="n">
        <x:f>M118-N118-O118</x:f>
        <x:v>18</x:v>
      </x:c>
    </x:row>
    <x:row r="119">
      <x:c r="A119" s="15" t="str">
        <x:v>SIM-0115</x:v>
      </x:c>
      <x:c r="B119" s="15" t="str">
        <x:v>2026-01</x:v>
      </x:c>
      <x:c r="C119" s="15" t="str">
        <x:v>Calzado</x:v>
      </x:c>
      <x:c r="D119" s="15" t="str">
        <x:v>Online</x:v>
      </x:c>
      <x:c r="E119" s="15" t="n">
        <x:v>1</x:v>
      </x:c>
      <x:c r="F119" s="15" t="n">
        <x:v>0</x:v>
      </x:c>
      <x:c r="G119" s="19" t="n">
        <x:v>90</x:v>
      </x:c>
      <x:c r="H119" s="19" t="n">
        <x:v>42</x:v>
      </x:c>
      <x:c r="I119" s="17" t="n">
        <x:v>0.1</x:v>
      </x:c>
      <x:c r="J119" s="19" t="n">
        <x:v>6</x:v>
      </x:c>
      <x:c r="K119" s="19" t="n">
        <x:f>E119*G119</x:f>
        <x:v>90</x:v>
      </x:c>
      <x:c r="L119" s="19" t="n">
        <x:f>K119*I119</x:f>
        <x:v>9</x:v>
      </x:c>
      <x:c r="M119" s="19" t="n">
        <x:f>(E119-F119)*G119*(1-I119)</x:f>
        <x:v>81</x:v>
      </x:c>
      <x:c r="N119" s="19" t="n">
        <x:f>(E119-F119)*H119</x:f>
        <x:v>42</x:v>
      </x:c>
      <x:c r="O119" s="19" t="n">
        <x:f>F119*J119</x:f>
        <x:v>0</x:v>
      </x:c>
      <x:c r="P119" s="19" t="n">
        <x:f>M119-N119-O119</x:f>
        <x:v>39</x:v>
      </x:c>
    </x:row>
    <x:row r="120">
      <x:c r="A120" s="15" t="str">
        <x:v>SIM-0116</x:v>
      </x:c>
      <x:c r="B120" s="15" t="str">
        <x:v>2026-01</x:v>
      </x:c>
      <x:c r="C120" s="15" t="str">
        <x:v>Calzado</x:v>
      </x:c>
      <x:c r="D120" s="15" t="str">
        <x:v>Online</x:v>
      </x:c>
      <x:c r="E120" s="15" t="n">
        <x:v>1</x:v>
      </x:c>
      <x:c r="F120" s="15" t="n">
        <x:v>1</x:v>
      </x:c>
      <x:c r="G120" s="19" t="n">
        <x:v>90</x:v>
      </x:c>
      <x:c r="H120" s="19" t="n">
        <x:v>42</x:v>
      </x:c>
      <x:c r="I120" s="17" t="n">
        <x:v>0.2</x:v>
      </x:c>
      <x:c r="J120" s="19" t="n">
        <x:v>6</x:v>
      </x:c>
      <x:c r="K120" s="19" t="n">
        <x:f>E120*G120</x:f>
        <x:v>90</x:v>
      </x:c>
      <x:c r="L120" s="19" t="n">
        <x:f>K120*I120</x:f>
        <x:v>18</x:v>
      </x:c>
      <x:c r="M120" s="19" t="n">
        <x:f>(E120-F120)*G120*(1-I120)</x:f>
        <x:v>0</x:v>
      </x:c>
      <x:c r="N120" s="19" t="n">
        <x:f>(E120-F120)*H120</x:f>
        <x:v>0</x:v>
      </x:c>
      <x:c r="O120" s="19" t="n">
        <x:f>F120*J120</x:f>
        <x:v>6</x:v>
      </x:c>
      <x:c r="P120" s="19" t="n">
        <x:f>M120-N120-O120</x:f>
        <x:v>-6</x:v>
      </x:c>
    </x:row>
    <x:row r="121">
      <x:c r="A121" s="15" t="str">
        <x:v>SIM-0117</x:v>
      </x:c>
      <x:c r="B121" s="15" t="str">
        <x:v>2026-01</x:v>
      </x:c>
      <x:c r="C121" s="15" t="str">
        <x:v>Prendas</x:v>
      </x:c>
      <x:c r="D121" s="15" t="str">
        <x:v>Tienda</x:v>
      </x:c>
      <x:c r="E121" s="15" t="n">
        <x:v>1</x:v>
      </x:c>
      <x:c r="F121" s="15" t="n">
        <x:v>0</x:v>
      </x:c>
      <x:c r="G121" s="19" t="n">
        <x:v>60</x:v>
      </x:c>
      <x:c r="H121" s="19" t="n">
        <x:v>24</x:v>
      </x:c>
      <x:c r="I121" s="17" t="n">
        <x:v>0</x:v>
      </x:c>
      <x:c r="J121" s="19" t="n">
        <x:v>2</x:v>
      </x:c>
      <x:c r="K121" s="19" t="n">
        <x:f>E121*G121</x:f>
        <x:v>60</x:v>
      </x:c>
      <x:c r="L121" s="19" t="n">
        <x:f>K121*I121</x:f>
        <x:v>0</x:v>
      </x:c>
      <x:c r="M121" s="19" t="n">
        <x:f>(E121-F121)*G121*(1-I121)</x:f>
        <x:v>60</x:v>
      </x:c>
      <x:c r="N121" s="19" t="n">
        <x:f>(E121-F121)*H121</x:f>
        <x:v>24</x:v>
      </x:c>
      <x:c r="O121" s="19" t="n">
        <x:f>F121*J121</x:f>
        <x:v>0</x:v>
      </x:c>
      <x:c r="P121" s="19" t="n">
        <x:f>M121-N121-O121</x:f>
        <x:v>36</x:v>
      </x:c>
    </x:row>
    <x:row r="122">
      <x:c r="A122" s="15" t="str">
        <x:v>SIM-0118</x:v>
      </x:c>
      <x:c r="B122" s="15" t="str">
        <x:v>2026-01</x:v>
      </x:c>
      <x:c r="C122" s="15" t="str">
        <x:v>Prendas</x:v>
      </x:c>
      <x:c r="D122" s="15" t="str">
        <x:v>Tienda</x:v>
      </x:c>
      <x:c r="E122" s="15" t="n">
        <x:v>2</x:v>
      </x:c>
      <x:c r="F122" s="15" t="n">
        <x:v>0</x:v>
      </x:c>
      <x:c r="G122" s="19" t="n">
        <x:v>60</x:v>
      </x:c>
      <x:c r="H122" s="19" t="n">
        <x:v>24</x:v>
      </x:c>
      <x:c r="I122" s="17" t="n">
        <x:v>0</x:v>
      </x:c>
      <x:c r="J122" s="19" t="n">
        <x:v>2</x:v>
      </x:c>
      <x:c r="K122" s="19" t="n">
        <x:f>E122*G122</x:f>
        <x:v>120</x:v>
      </x:c>
      <x:c r="L122" s="19" t="n">
        <x:f>K122*I122</x:f>
        <x:v>0</x:v>
      </x:c>
      <x:c r="M122" s="19" t="n">
        <x:f>(E122-F122)*G122*(1-I122)</x:f>
        <x:v>120</x:v>
      </x:c>
      <x:c r="N122" s="19" t="n">
        <x:f>(E122-F122)*H122</x:f>
        <x:v>48</x:v>
      </x:c>
      <x:c r="O122" s="19" t="n">
        <x:f>F122*J122</x:f>
        <x:v>0</x:v>
      </x:c>
      <x:c r="P122" s="19" t="n">
        <x:f>M122-N122-O122</x:f>
        <x:v>72</x:v>
      </x:c>
    </x:row>
    <x:row r="123">
      <x:c r="A123" s="15" t="str">
        <x:v>SIM-0119</x:v>
      </x:c>
      <x:c r="B123" s="15" t="str">
        <x:v>2026-01</x:v>
      </x:c>
      <x:c r="C123" s="15" t="str">
        <x:v>Prendas</x:v>
      </x:c>
      <x:c r="D123" s="15" t="str">
        <x:v>Tienda</x:v>
      </x:c>
      <x:c r="E123" s="15" t="n">
        <x:v>1</x:v>
      </x:c>
      <x:c r="F123" s="15" t="n">
        <x:v>0</x:v>
      </x:c>
      <x:c r="G123" s="19" t="n">
        <x:v>60</x:v>
      </x:c>
      <x:c r="H123" s="19" t="n">
        <x:v>24</x:v>
      </x:c>
      <x:c r="I123" s="17" t="n">
        <x:v>0.3</x:v>
      </x:c>
      <x:c r="J123" s="19" t="n">
        <x:v>2</x:v>
      </x:c>
      <x:c r="K123" s="19" t="n">
        <x:f>E123*G123</x:f>
        <x:v>60</x:v>
      </x:c>
      <x:c r="L123" s="19" t="n">
        <x:f>K123*I123</x:f>
        <x:v>18</x:v>
      </x:c>
      <x:c r="M123" s="19" t="n">
        <x:f>(E123-F123)*G123*(1-I123)</x:f>
        <x:v>42</x:v>
      </x:c>
      <x:c r="N123" s="19" t="n">
        <x:f>(E123-F123)*H123</x:f>
        <x:v>24</x:v>
      </x:c>
      <x:c r="O123" s="19" t="n">
        <x:f>F123*J123</x:f>
        <x:v>0</x:v>
      </x:c>
      <x:c r="P123" s="19" t="n">
        <x:f>M123-N123-O123</x:f>
        <x:v>18</x:v>
      </x:c>
    </x:row>
    <x:row r="124">
      <x:c r="A124" s="15" t="str">
        <x:v>SIM-0120</x:v>
      </x:c>
      <x:c r="B124" s="15" t="str">
        <x:v>2026-01</x:v>
      </x:c>
      <x:c r="C124" s="15" t="str">
        <x:v>Prendas</x:v>
      </x:c>
      <x:c r="D124" s="15" t="str">
        <x:v>Tienda</x:v>
      </x:c>
      <x:c r="E124" s="15" t="n">
        <x:v>1</x:v>
      </x:c>
      <x:c r="F124" s="15" t="n">
        <x:v>0</x:v>
      </x:c>
      <x:c r="G124" s="19" t="n">
        <x:v>60</x:v>
      </x:c>
      <x:c r="H124" s="19" t="n">
        <x:v>24</x:v>
      </x:c>
      <x:c r="I124" s="17" t="n">
        <x:v>0</x:v>
      </x:c>
      <x:c r="J124" s="19" t="n">
        <x:v>2</x:v>
      </x:c>
      <x:c r="K124" s="19" t="n">
        <x:f>E124*G124</x:f>
        <x:v>60</x:v>
      </x:c>
      <x:c r="L124" s="19" t="n">
        <x:f>K124*I124</x:f>
        <x:v>0</x:v>
      </x:c>
      <x:c r="M124" s="19" t="n">
        <x:f>(E124-F124)*G124*(1-I124)</x:f>
        <x:v>60</x:v>
      </x:c>
      <x:c r="N124" s="19" t="n">
        <x:f>(E124-F124)*H124</x:f>
        <x:v>24</x:v>
      </x:c>
      <x:c r="O124" s="19" t="n">
        <x:f>F124*J124</x:f>
        <x:v>0</x:v>
      </x:c>
      <x:c r="P124" s="19" t="n">
        <x:f>M124-N124-O124</x:f>
        <x:v>36</x:v>
      </x:c>
    </x:row>
    <x:row r="125">
      <x:c r="A125" s="15" t="str">
        <x:v>SIM-0121</x:v>
      </x:c>
      <x:c r="B125" s="15" t="str">
        <x:v>2026-01</x:v>
      </x:c>
      <x:c r="C125" s="15" t="str">
        <x:v>Calzado</x:v>
      </x:c>
      <x:c r="D125" s="15" t="str">
        <x:v>Online</x:v>
      </x:c>
      <x:c r="E125" s="15" t="n">
        <x:v>2</x:v>
      </x:c>
      <x:c r="F125" s="15" t="n">
        <x:v>0</x:v>
      </x:c>
      <x:c r="G125" s="19" t="n">
        <x:v>90</x:v>
      </x:c>
      <x:c r="H125" s="19" t="n">
        <x:v>42</x:v>
      </x:c>
      <x:c r="I125" s="17" t="n">
        <x:v>0.3</x:v>
      </x:c>
      <x:c r="J125" s="19" t="n">
        <x:v>6</x:v>
      </x:c>
      <x:c r="K125" s="19" t="n">
        <x:f>E125*G125</x:f>
        <x:v>180</x:v>
      </x:c>
      <x:c r="L125" s="19" t="n">
        <x:f>K125*I125</x:f>
        <x:v>54</x:v>
      </x:c>
      <x:c r="M125" s="19" t="n">
        <x:f>(E125-F125)*G125*(1-I125)</x:f>
        <x:v>125.99999999999999</x:v>
      </x:c>
      <x:c r="N125" s="19" t="n">
        <x:f>(E125-F125)*H125</x:f>
        <x:v>84</x:v>
      </x:c>
      <x:c r="O125" s="19" t="n">
        <x:f>F125*J125</x:f>
        <x:v>0</x:v>
      </x:c>
      <x:c r="P125" s="19" t="n">
        <x:f>M125-N125-O125</x:f>
        <x:v>41.999999999999986</x:v>
      </x:c>
    </x:row>
    <x:row r="126">
      <x:c r="A126" s="15" t="str">
        <x:v>SIM-0122</x:v>
      </x:c>
      <x:c r="B126" s="15" t="str">
        <x:v>2026-01</x:v>
      </x:c>
      <x:c r="C126" s="15" t="str">
        <x:v>Calzado</x:v>
      </x:c>
      <x:c r="D126" s="15" t="str">
        <x:v>Tienda</x:v>
      </x:c>
      <x:c r="E126" s="15" t="n">
        <x:v>1</x:v>
      </x:c>
      <x:c r="F126" s="15" t="n">
        <x:v>0</x:v>
      </x:c>
      <x:c r="G126" s="19" t="n">
        <x:v>90</x:v>
      </x:c>
      <x:c r="H126" s="19" t="n">
        <x:v>42</x:v>
      </x:c>
      <x:c r="I126" s="17" t="n">
        <x:v>0.3</x:v>
      </x:c>
      <x:c r="J126" s="19" t="n">
        <x:v>2</x:v>
      </x:c>
      <x:c r="K126" s="19" t="n">
        <x:f>E126*G126</x:f>
        <x:v>90</x:v>
      </x:c>
      <x:c r="L126" s="19" t="n">
        <x:f>K126*I126</x:f>
        <x:v>27</x:v>
      </x:c>
      <x:c r="M126" s="19" t="n">
        <x:f>(E126-F126)*G126*(1-I126)</x:f>
        <x:v>62.99999999999999</x:v>
      </x:c>
      <x:c r="N126" s="19" t="n">
        <x:f>(E126-F126)*H126</x:f>
        <x:v>42</x:v>
      </x:c>
      <x:c r="O126" s="19" t="n">
        <x:f>F126*J126</x:f>
        <x:v>0</x:v>
      </x:c>
      <x:c r="P126" s="19" t="n">
        <x:f>M126-N126-O126</x:f>
        <x:v>20.999999999999993</x:v>
      </x:c>
    </x:row>
    <x:row r="127">
      <x:c r="A127" s="15" t="str">
        <x:v>SIM-0123</x:v>
      </x:c>
      <x:c r="B127" s="15" t="str">
        <x:v>2026-01</x:v>
      </x:c>
      <x:c r="C127" s="15" t="str">
        <x:v>Prendas</x:v>
      </x:c>
      <x:c r="D127" s="15" t="str">
        <x:v>Tienda</x:v>
      </x:c>
      <x:c r="E127" s="15" t="n">
        <x:v>2</x:v>
      </x:c>
      <x:c r="F127" s="15" t="n">
        <x:v>0</x:v>
      </x:c>
      <x:c r="G127" s="19" t="n">
        <x:v>60</x:v>
      </x:c>
      <x:c r="H127" s="19" t="n">
        <x:v>24</x:v>
      </x:c>
      <x:c r="I127" s="17" t="n">
        <x:v>0.1</x:v>
      </x:c>
      <x:c r="J127" s="19" t="n">
        <x:v>2</x:v>
      </x:c>
      <x:c r="K127" s="19" t="n">
        <x:f>E127*G127</x:f>
        <x:v>120</x:v>
      </x:c>
      <x:c r="L127" s="19" t="n">
        <x:f>K127*I127</x:f>
        <x:v>12</x:v>
      </x:c>
      <x:c r="M127" s="19" t="n">
        <x:f>(E127-F127)*G127*(1-I127)</x:f>
        <x:v>108</x:v>
      </x:c>
      <x:c r="N127" s="19" t="n">
        <x:f>(E127-F127)*H127</x:f>
        <x:v>48</x:v>
      </x:c>
      <x:c r="O127" s="19" t="n">
        <x:f>F127*J127</x:f>
        <x:v>0</x:v>
      </x:c>
      <x:c r="P127" s="19" t="n">
        <x:f>M127-N127-O127</x:f>
        <x:v>60</x:v>
      </x:c>
    </x:row>
    <x:row r="128">
      <x:c r="A128" s="15" t="str">
        <x:v>SIM-0124</x:v>
      </x:c>
      <x:c r="B128" s="15" t="str">
        <x:v>2026-01</x:v>
      </x:c>
      <x:c r="C128" s="15" t="str">
        <x:v>Prendas</x:v>
      </x:c>
      <x:c r="D128" s="15" t="str">
        <x:v>Online</x:v>
      </x:c>
      <x:c r="E128" s="15" t="n">
        <x:v>1</x:v>
      </x:c>
      <x:c r="F128" s="15" t="n">
        <x:v>0</x:v>
      </x:c>
      <x:c r="G128" s="19" t="n">
        <x:v>60</x:v>
      </x:c>
      <x:c r="H128" s="19" t="n">
        <x:v>24</x:v>
      </x:c>
      <x:c r="I128" s="17" t="n">
        <x:v>0</x:v>
      </x:c>
      <x:c r="J128" s="19" t="n">
        <x:v>6</x:v>
      </x:c>
      <x:c r="K128" s="19" t="n">
        <x:f>E128*G128</x:f>
        <x:v>60</x:v>
      </x:c>
      <x:c r="L128" s="19" t="n">
        <x:f>K128*I128</x:f>
        <x:v>0</x:v>
      </x:c>
      <x:c r="M128" s="19" t="n">
        <x:f>(E128-F128)*G128*(1-I128)</x:f>
        <x:v>60</x:v>
      </x:c>
      <x:c r="N128" s="19" t="n">
        <x:f>(E128-F128)*H128</x:f>
        <x:v>24</x:v>
      </x:c>
      <x:c r="O128" s="19" t="n">
        <x:f>F128*J128</x:f>
        <x:v>0</x:v>
      </x:c>
      <x:c r="P128" s="19" t="n">
        <x:f>M128-N128-O128</x:f>
        <x:v>36</x:v>
      </x:c>
    </x:row>
    <x:row r="129">
      <x:c r="A129" s="15" t="str">
        <x:v>SIM-0125</x:v>
      </x:c>
      <x:c r="B129" s="15" t="str">
        <x:v>2026-01</x:v>
      </x:c>
      <x:c r="C129" s="15" t="str">
        <x:v>Prendas</x:v>
      </x:c>
      <x:c r="D129" s="15" t="str">
        <x:v>Tienda</x:v>
      </x:c>
      <x:c r="E129" s="15" t="n">
        <x:v>1</x:v>
      </x:c>
      <x:c r="F129" s="15" t="n">
        <x:v>0</x:v>
      </x:c>
      <x:c r="G129" s="19" t="n">
        <x:v>60</x:v>
      </x:c>
      <x:c r="H129" s="19" t="n">
        <x:v>24</x:v>
      </x:c>
      <x:c r="I129" s="17" t="n">
        <x:v>0.2</x:v>
      </x:c>
      <x:c r="J129" s="19" t="n">
        <x:v>2</x:v>
      </x:c>
      <x:c r="K129" s="19" t="n">
        <x:f>E129*G129</x:f>
        <x:v>60</x:v>
      </x:c>
      <x:c r="L129" s="19" t="n">
        <x:f>K129*I129</x:f>
        <x:v>12</x:v>
      </x:c>
      <x:c r="M129" s="19" t="n">
        <x:f>(E129-F129)*G129*(1-I129)</x:f>
        <x:v>48</x:v>
      </x:c>
      <x:c r="N129" s="19" t="n">
        <x:f>(E129-F129)*H129</x:f>
        <x:v>24</x:v>
      </x:c>
      <x:c r="O129" s="19" t="n">
        <x:f>F129*J129</x:f>
        <x:v>0</x:v>
      </x:c>
      <x:c r="P129" s="19" t="n">
        <x:f>M129-N129-O129</x:f>
        <x:v>24</x:v>
      </x:c>
    </x:row>
    <x:row r="130">
      <x:c r="A130" s="15" t="str">
        <x:v>SIM-0126</x:v>
      </x:c>
      <x:c r="B130" s="15" t="str">
        <x:v>2026-01</x:v>
      </x:c>
      <x:c r="C130" s="15" t="str">
        <x:v>Prendas</x:v>
      </x:c>
      <x:c r="D130" s="15" t="str">
        <x:v>Online</x:v>
      </x:c>
      <x:c r="E130" s="15" t="n">
        <x:v>1</x:v>
      </x:c>
      <x:c r="F130" s="15" t="n">
        <x:v>0</x:v>
      </x:c>
      <x:c r="G130" s="19" t="n">
        <x:v>60</x:v>
      </x:c>
      <x:c r="H130" s="19" t="n">
        <x:v>24</x:v>
      </x:c>
      <x:c r="I130" s="17" t="n">
        <x:v>0</x:v>
      </x:c>
      <x:c r="J130" s="19" t="n">
        <x:v>6</x:v>
      </x:c>
      <x:c r="K130" s="19" t="n">
        <x:f>E130*G130</x:f>
        <x:v>60</x:v>
      </x:c>
      <x:c r="L130" s="19" t="n">
        <x:f>K130*I130</x:f>
        <x:v>0</x:v>
      </x:c>
      <x:c r="M130" s="19" t="n">
        <x:f>(E130-F130)*G130*(1-I130)</x:f>
        <x:v>60</x:v>
      </x:c>
      <x:c r="N130" s="19" t="n">
        <x:f>(E130-F130)*H130</x:f>
        <x:v>24</x:v>
      </x:c>
      <x:c r="O130" s="19" t="n">
        <x:f>F130*J130</x:f>
        <x:v>0</x:v>
      </x:c>
      <x:c r="P130" s="19" t="n">
        <x:f>M130-N130-O130</x:f>
        <x:v>36</x:v>
      </x:c>
    </x:row>
    <x:row r="131">
      <x:c r="A131" s="15" t="str">
        <x:v>SIM-0127</x:v>
      </x:c>
      <x:c r="B131" s="15" t="str">
        <x:v>2026-01</x:v>
      </x:c>
      <x:c r="C131" s="15" t="str">
        <x:v>Prendas</x:v>
      </x:c>
      <x:c r="D131" s="15" t="str">
        <x:v>Tienda</x:v>
      </x:c>
      <x:c r="E131" s="15" t="n">
        <x:v>1</x:v>
      </x:c>
      <x:c r="F131" s="15" t="n">
        <x:v>0</x:v>
      </x:c>
      <x:c r="G131" s="19" t="n">
        <x:v>60</x:v>
      </x:c>
      <x:c r="H131" s="19" t="n">
        <x:v>24</x:v>
      </x:c>
      <x:c r="I131" s="17" t="n">
        <x:v>0</x:v>
      </x:c>
      <x:c r="J131" s="19" t="n">
        <x:v>2</x:v>
      </x:c>
      <x:c r="K131" s="19" t="n">
        <x:f>E131*G131</x:f>
        <x:v>60</x:v>
      </x:c>
      <x:c r="L131" s="19" t="n">
        <x:f>K131*I131</x:f>
        <x:v>0</x:v>
      </x:c>
      <x:c r="M131" s="19" t="n">
        <x:f>(E131-F131)*G131*(1-I131)</x:f>
        <x:v>60</x:v>
      </x:c>
      <x:c r="N131" s="19" t="n">
        <x:f>(E131-F131)*H131</x:f>
        <x:v>24</x:v>
      </x:c>
      <x:c r="O131" s="19" t="n">
        <x:f>F131*J131</x:f>
        <x:v>0</x:v>
      </x:c>
      <x:c r="P131" s="19" t="n">
        <x:f>M131-N131-O131</x:f>
        <x:v>36</x:v>
      </x:c>
    </x:row>
    <x:row r="132">
      <x:c r="A132" s="15" t="str">
        <x:v>SIM-0128</x:v>
      </x:c>
      <x:c r="B132" s="15" t="str">
        <x:v>2026-01</x:v>
      </x:c>
      <x:c r="C132" s="15" t="str">
        <x:v>Calzado</x:v>
      </x:c>
      <x:c r="D132" s="15" t="str">
        <x:v>Online</x:v>
      </x:c>
      <x:c r="E132" s="15" t="n">
        <x:v>3</x:v>
      </x:c>
      <x:c r="F132" s="15" t="n">
        <x:v>2</x:v>
      </x:c>
      <x:c r="G132" s="19" t="n">
        <x:v>90</x:v>
      </x:c>
      <x:c r="H132" s="19" t="n">
        <x:v>42</x:v>
      </x:c>
      <x:c r="I132" s="17" t="n">
        <x:v>0.1</x:v>
      </x:c>
      <x:c r="J132" s="19" t="n">
        <x:v>6</x:v>
      </x:c>
      <x:c r="K132" s="19" t="n">
        <x:f>E132*G132</x:f>
        <x:v>270</x:v>
      </x:c>
      <x:c r="L132" s="19" t="n">
        <x:f>K132*I132</x:f>
        <x:v>27</x:v>
      </x:c>
      <x:c r="M132" s="19" t="n">
        <x:f>(E132-F132)*G132*(1-I132)</x:f>
        <x:v>81</x:v>
      </x:c>
      <x:c r="N132" s="19" t="n">
        <x:f>(E132-F132)*H132</x:f>
        <x:v>42</x:v>
      </x:c>
      <x:c r="O132" s="19" t="n">
        <x:f>F132*J132</x:f>
        <x:v>12</x:v>
      </x:c>
      <x:c r="P132" s="19" t="n">
        <x:f>M132-N132-O132</x:f>
        <x:v>27</x:v>
      </x:c>
    </x:row>
    <x:row r="133">
      <x:c r="A133" s="15" t="str">
        <x:v>SIM-0129</x:v>
      </x:c>
      <x:c r="B133" s="15" t="str">
        <x:v>2026-01</x:v>
      </x:c>
      <x:c r="C133" s="15" t="str">
        <x:v>Calzado</x:v>
      </x:c>
      <x:c r="D133" s="15" t="str">
        <x:v>Tienda</x:v>
      </x:c>
      <x:c r="E133" s="15" t="n">
        <x:v>2</x:v>
      </x:c>
      <x:c r="F133" s="15" t="n">
        <x:v>0</x:v>
      </x:c>
      <x:c r="G133" s="19" t="n">
        <x:v>90</x:v>
      </x:c>
      <x:c r="H133" s="19" t="n">
        <x:v>42</x:v>
      </x:c>
      <x:c r="I133" s="17" t="n">
        <x:v>0</x:v>
      </x:c>
      <x:c r="J133" s="19" t="n">
        <x:v>2</x:v>
      </x:c>
      <x:c r="K133" s="19" t="n">
        <x:f>E133*G133</x:f>
        <x:v>180</x:v>
      </x:c>
      <x:c r="L133" s="19" t="n">
        <x:f>K133*I133</x:f>
        <x:v>0</x:v>
      </x:c>
      <x:c r="M133" s="19" t="n">
        <x:f>(E133-F133)*G133*(1-I133)</x:f>
        <x:v>180</x:v>
      </x:c>
      <x:c r="N133" s="19" t="n">
        <x:f>(E133-F133)*H133</x:f>
        <x:v>84</x:v>
      </x:c>
      <x:c r="O133" s="19" t="n">
        <x:f>F133*J133</x:f>
        <x:v>0</x:v>
      </x:c>
      <x:c r="P133" s="19" t="n">
        <x:f>M133-N133-O133</x:f>
        <x:v>96</x:v>
      </x:c>
    </x:row>
    <x:row r="134">
      <x:c r="A134" s="15" t="str">
        <x:v>SIM-0130</x:v>
      </x:c>
      <x:c r="B134" s="15" t="str">
        <x:v>2026-01</x:v>
      </x:c>
      <x:c r="C134" s="15" t="str">
        <x:v>Prendas</x:v>
      </x:c>
      <x:c r="D134" s="15" t="str">
        <x:v>Tienda</x:v>
      </x:c>
      <x:c r="E134" s="15" t="n">
        <x:v>2</x:v>
      </x:c>
      <x:c r="F134" s="15" t="n">
        <x:v>0</x:v>
      </x:c>
      <x:c r="G134" s="19" t="n">
        <x:v>60</x:v>
      </x:c>
      <x:c r="H134" s="19" t="n">
        <x:v>24</x:v>
      </x:c>
      <x:c r="I134" s="17" t="n">
        <x:v>0.1</x:v>
      </x:c>
      <x:c r="J134" s="19" t="n">
        <x:v>2</x:v>
      </x:c>
      <x:c r="K134" s="19" t="n">
        <x:f>E134*G134</x:f>
        <x:v>120</x:v>
      </x:c>
      <x:c r="L134" s="19" t="n">
        <x:f>K134*I134</x:f>
        <x:v>12</x:v>
      </x:c>
      <x:c r="M134" s="19" t="n">
        <x:f>(E134-F134)*G134*(1-I134)</x:f>
        <x:v>108</x:v>
      </x:c>
      <x:c r="N134" s="19" t="n">
        <x:f>(E134-F134)*H134</x:f>
        <x:v>48</x:v>
      </x:c>
      <x:c r="O134" s="19" t="n">
        <x:f>F134*J134</x:f>
        <x:v>0</x:v>
      </x:c>
      <x:c r="P134" s="19" t="n">
        <x:f>M134-N134-O134</x:f>
        <x:v>60</x:v>
      </x:c>
    </x:row>
    <x:row r="135">
      <x:c r="A135" s="15" t="str">
        <x:v>SIM-0131</x:v>
      </x:c>
      <x:c r="B135" s="15" t="str">
        <x:v>2026-01</x:v>
      </x:c>
      <x:c r="C135" s="15" t="str">
        <x:v>Prendas</x:v>
      </x:c>
      <x:c r="D135" s="15" t="str">
        <x:v>Online</x:v>
      </x:c>
      <x:c r="E135" s="15" t="n">
        <x:v>1</x:v>
      </x:c>
      <x:c r="F135" s="15" t="n">
        <x:v>0</x:v>
      </x:c>
      <x:c r="G135" s="19" t="n">
        <x:v>60</x:v>
      </x:c>
      <x:c r="H135" s="19" t="n">
        <x:v>24</x:v>
      </x:c>
      <x:c r="I135" s="17" t="n">
        <x:v>0.1</x:v>
      </x:c>
      <x:c r="J135" s="19" t="n">
        <x:v>6</x:v>
      </x:c>
      <x:c r="K135" s="19" t="n">
        <x:f>E135*G135</x:f>
        <x:v>60</x:v>
      </x:c>
      <x:c r="L135" s="19" t="n">
        <x:f>K135*I135</x:f>
        <x:v>6</x:v>
      </x:c>
      <x:c r="M135" s="19" t="n">
        <x:f>(E135-F135)*G135*(1-I135)</x:f>
        <x:v>54</x:v>
      </x:c>
      <x:c r="N135" s="19" t="n">
        <x:f>(E135-F135)*H135</x:f>
        <x:v>24</x:v>
      </x:c>
      <x:c r="O135" s="19" t="n">
        <x:f>F135*J135</x:f>
        <x:v>0</x:v>
      </x:c>
      <x:c r="P135" s="19" t="n">
        <x:f>M135-N135-O135</x:f>
        <x:v>30</x:v>
      </x:c>
    </x:row>
    <x:row r="136">
      <x:c r="A136" s="15" t="str">
        <x:v>SIM-0132</x:v>
      </x:c>
      <x:c r="B136" s="15" t="str">
        <x:v>2026-01</x:v>
      </x:c>
      <x:c r="C136" s="15" t="str">
        <x:v>Accesorios</x:v>
      </x:c>
      <x:c r="D136" s="15" t="str">
        <x:v>Tienda</x:v>
      </x:c>
      <x:c r="E136" s="15" t="n">
        <x:v>1</x:v>
      </x:c>
      <x:c r="F136" s="15" t="n">
        <x:v>0</x:v>
      </x:c>
      <x:c r="G136" s="19" t="n">
        <x:v>30</x:v>
      </x:c>
      <x:c r="H136" s="19" t="n">
        <x:v>9</x:v>
      </x:c>
      <x:c r="I136" s="17" t="n">
        <x:v>0</x:v>
      </x:c>
      <x:c r="J136" s="19" t="n">
        <x:v>2</x:v>
      </x:c>
      <x:c r="K136" s="19" t="n">
        <x:f>E136*G136</x:f>
        <x:v>30</x:v>
      </x:c>
      <x:c r="L136" s="19" t="n">
        <x:f>K136*I136</x:f>
        <x:v>0</x:v>
      </x:c>
      <x:c r="M136" s="19" t="n">
        <x:f>(E136-F136)*G136*(1-I136)</x:f>
        <x:v>30</x:v>
      </x:c>
      <x:c r="N136" s="19" t="n">
        <x:f>(E136-F136)*H136</x:f>
        <x:v>9</x:v>
      </x:c>
      <x:c r="O136" s="19" t="n">
        <x:f>F136*J136</x:f>
        <x:v>0</x:v>
      </x:c>
      <x:c r="P136" s="19" t="n">
        <x:f>M136-N136-O136</x:f>
        <x:v>21</x:v>
      </x:c>
    </x:row>
    <x:row r="137">
      <x:c r="A137" s="15" t="str">
        <x:v>SIM-0133</x:v>
      </x:c>
      <x:c r="B137" s="15" t="str">
        <x:v>2026-01</x:v>
      </x:c>
      <x:c r="C137" s="15" t="str">
        <x:v>Calzado</x:v>
      </x:c>
      <x:c r="D137" s="15" t="str">
        <x:v>Online</x:v>
      </x:c>
      <x:c r="E137" s="15" t="n">
        <x:v>3</x:v>
      </x:c>
      <x:c r="F137" s="15" t="n">
        <x:v>1</x:v>
      </x:c>
      <x:c r="G137" s="19" t="n">
        <x:v>90</x:v>
      </x:c>
      <x:c r="H137" s="19" t="n">
        <x:v>42</x:v>
      </x:c>
      <x:c r="I137" s="17" t="n">
        <x:v>0.1</x:v>
      </x:c>
      <x:c r="J137" s="19" t="n">
        <x:v>6</x:v>
      </x:c>
      <x:c r="K137" s="19" t="n">
        <x:f>E137*G137</x:f>
        <x:v>270</x:v>
      </x:c>
      <x:c r="L137" s="19" t="n">
        <x:f>K137*I137</x:f>
        <x:v>27</x:v>
      </x:c>
      <x:c r="M137" s="19" t="n">
        <x:f>(E137-F137)*G137*(1-I137)</x:f>
        <x:v>162</x:v>
      </x:c>
      <x:c r="N137" s="19" t="n">
        <x:f>(E137-F137)*H137</x:f>
        <x:v>84</x:v>
      </x:c>
      <x:c r="O137" s="19" t="n">
        <x:f>F137*J137</x:f>
        <x:v>6</x:v>
      </x:c>
      <x:c r="P137" s="19" t="n">
        <x:f>M137-N137-O137</x:f>
        <x:v>72</x:v>
      </x:c>
    </x:row>
    <x:row r="138">
      <x:c r="A138" s="15" t="str">
        <x:v>SIM-0134</x:v>
      </x:c>
      <x:c r="B138" s="15" t="str">
        <x:v>2026-01</x:v>
      </x:c>
      <x:c r="C138" s="15" t="str">
        <x:v>Calzado</x:v>
      </x:c>
      <x:c r="D138" s="15" t="str">
        <x:v>Tienda</x:v>
      </x:c>
      <x:c r="E138" s="15" t="n">
        <x:v>1</x:v>
      </x:c>
      <x:c r="F138" s="15" t="n">
        <x:v>0</x:v>
      </x:c>
      <x:c r="G138" s="19" t="n">
        <x:v>90</x:v>
      </x:c>
      <x:c r="H138" s="19" t="n">
        <x:v>42</x:v>
      </x:c>
      <x:c r="I138" s="17" t="n">
        <x:v>0.3</x:v>
      </x:c>
      <x:c r="J138" s="19" t="n">
        <x:v>2</x:v>
      </x:c>
      <x:c r="K138" s="19" t="n">
        <x:f>E138*G138</x:f>
        <x:v>90</x:v>
      </x:c>
      <x:c r="L138" s="19" t="n">
        <x:f>K138*I138</x:f>
        <x:v>27</x:v>
      </x:c>
      <x:c r="M138" s="19" t="n">
        <x:f>(E138-F138)*G138*(1-I138)</x:f>
        <x:v>62.99999999999999</x:v>
      </x:c>
      <x:c r="N138" s="19" t="n">
        <x:f>(E138-F138)*H138</x:f>
        <x:v>42</x:v>
      </x:c>
      <x:c r="O138" s="19" t="n">
        <x:f>F138*J138</x:f>
        <x:v>0</x:v>
      </x:c>
      <x:c r="P138" s="19" t="n">
        <x:f>M138-N138-O138</x:f>
        <x:v>20.999999999999993</x:v>
      </x:c>
    </x:row>
    <x:row r="139">
      <x:c r="A139" s="15" t="str">
        <x:v>SIM-0135</x:v>
      </x:c>
      <x:c r="B139" s="15" t="str">
        <x:v>2026-01</x:v>
      </x:c>
      <x:c r="C139" s="15" t="str">
        <x:v>Calzado</x:v>
      </x:c>
      <x:c r="D139" s="15" t="str">
        <x:v>Tienda</x:v>
      </x:c>
      <x:c r="E139" s="15" t="n">
        <x:v>1</x:v>
      </x:c>
      <x:c r="F139" s="15" t="n">
        <x:v>0</x:v>
      </x:c>
      <x:c r="G139" s="19" t="n">
        <x:v>90</x:v>
      </x:c>
      <x:c r="H139" s="19" t="n">
        <x:v>42</x:v>
      </x:c>
      <x:c r="I139" s="17" t="n">
        <x:v>0</x:v>
      </x:c>
      <x:c r="J139" s="19" t="n">
        <x:v>2</x:v>
      </x:c>
      <x:c r="K139" s="19" t="n">
        <x:f>E139*G139</x:f>
        <x:v>90</x:v>
      </x:c>
      <x:c r="L139" s="19" t="n">
        <x:f>K139*I139</x:f>
        <x:v>0</x:v>
      </x:c>
      <x:c r="M139" s="19" t="n">
        <x:f>(E139-F139)*G139*(1-I139)</x:f>
        <x:v>90</x:v>
      </x:c>
      <x:c r="N139" s="19" t="n">
        <x:f>(E139-F139)*H139</x:f>
        <x:v>42</x:v>
      </x:c>
      <x:c r="O139" s="19" t="n">
        <x:f>F139*J139</x:f>
        <x:v>0</x:v>
      </x:c>
      <x:c r="P139" s="19" t="n">
        <x:f>M139-N139-O139</x:f>
        <x:v>48</x:v>
      </x:c>
    </x:row>
    <x:row r="140">
      <x:c r="A140" s="15" t="str">
        <x:v>SIM-0136</x:v>
      </x:c>
      <x:c r="B140" s="15" t="str">
        <x:v>2026-01</x:v>
      </x:c>
      <x:c r="C140" s="15" t="str">
        <x:v>Calzado</x:v>
      </x:c>
      <x:c r="D140" s="15" t="str">
        <x:v>Tienda</x:v>
      </x:c>
      <x:c r="E140" s="15" t="n">
        <x:v>1</x:v>
      </x:c>
      <x:c r="F140" s="15" t="n">
        <x:v>0</x:v>
      </x:c>
      <x:c r="G140" s="19" t="n">
        <x:v>90</x:v>
      </x:c>
      <x:c r="H140" s="19" t="n">
        <x:v>42</x:v>
      </x:c>
      <x:c r="I140" s="17" t="n">
        <x:v>0</x:v>
      </x:c>
      <x:c r="J140" s="19" t="n">
        <x:v>2</x:v>
      </x:c>
      <x:c r="K140" s="19" t="n">
        <x:f>E140*G140</x:f>
        <x:v>90</x:v>
      </x:c>
      <x:c r="L140" s="19" t="n">
        <x:f>K140*I140</x:f>
        <x:v>0</x:v>
      </x:c>
      <x:c r="M140" s="19" t="n">
        <x:f>(E140-F140)*G140*(1-I140)</x:f>
        <x:v>90</x:v>
      </x:c>
      <x:c r="N140" s="19" t="n">
        <x:f>(E140-F140)*H140</x:f>
        <x:v>42</x:v>
      </x:c>
      <x:c r="O140" s="19" t="n">
        <x:f>F140*J140</x:f>
        <x:v>0</x:v>
      </x:c>
      <x:c r="P140" s="19" t="n">
        <x:f>M140-N140-O140</x:f>
        <x:v>48</x:v>
      </x:c>
    </x:row>
    <x:row r="141">
      <x:c r="A141" s="15" t="str">
        <x:v>SIM-0137</x:v>
      </x:c>
      <x:c r="B141" s="15" t="str">
        <x:v>2026-01</x:v>
      </x:c>
      <x:c r="C141" s="15" t="str">
        <x:v>Accesorios</x:v>
      </x:c>
      <x:c r="D141" s="15" t="str">
        <x:v>Tienda</x:v>
      </x:c>
      <x:c r="E141" s="15" t="n">
        <x:v>1</x:v>
      </x:c>
      <x:c r="F141" s="15" t="n">
        <x:v>0</x:v>
      </x:c>
      <x:c r="G141" s="19" t="n">
        <x:v>30</x:v>
      </x:c>
      <x:c r="H141" s="19" t="n">
        <x:v>9</x:v>
      </x:c>
      <x:c r="I141" s="17" t="n">
        <x:v>0.3</x:v>
      </x:c>
      <x:c r="J141" s="19" t="n">
        <x:v>2</x:v>
      </x:c>
      <x:c r="K141" s="19" t="n">
        <x:f>E141*G141</x:f>
        <x:v>30</x:v>
      </x:c>
      <x:c r="L141" s="19" t="n">
        <x:f>K141*I141</x:f>
        <x:v>9</x:v>
      </x:c>
      <x:c r="M141" s="19" t="n">
        <x:f>(E141-F141)*G141*(1-I141)</x:f>
        <x:v>21</x:v>
      </x:c>
      <x:c r="N141" s="19" t="n">
        <x:f>(E141-F141)*H141</x:f>
        <x:v>9</x:v>
      </x:c>
      <x:c r="O141" s="19" t="n">
        <x:f>F141*J141</x:f>
        <x:v>0</x:v>
      </x:c>
      <x:c r="P141" s="19" t="n">
        <x:f>M141-N141-O141</x:f>
        <x:v>12</x:v>
      </x:c>
    </x:row>
    <x:row r="142">
      <x:c r="A142" s="15" t="str">
        <x:v>SIM-0138</x:v>
      </x:c>
      <x:c r="B142" s="15" t="str">
        <x:v>2026-01</x:v>
      </x:c>
      <x:c r="C142" s="15" t="str">
        <x:v>Prendas</x:v>
      </x:c>
      <x:c r="D142" s="15" t="str">
        <x:v>Tienda</x:v>
      </x:c>
      <x:c r="E142" s="15" t="n">
        <x:v>1</x:v>
      </x:c>
      <x:c r="F142" s="15" t="n">
        <x:v>0</x:v>
      </x:c>
      <x:c r="G142" s="19" t="n">
        <x:v>60</x:v>
      </x:c>
      <x:c r="H142" s="19" t="n">
        <x:v>24</x:v>
      </x:c>
      <x:c r="I142" s="17" t="n">
        <x:v>0.1</x:v>
      </x:c>
      <x:c r="J142" s="19" t="n">
        <x:v>2</x:v>
      </x:c>
      <x:c r="K142" s="19" t="n">
        <x:f>E142*G142</x:f>
        <x:v>60</x:v>
      </x:c>
      <x:c r="L142" s="19" t="n">
        <x:f>K142*I142</x:f>
        <x:v>6</x:v>
      </x:c>
      <x:c r="M142" s="19" t="n">
        <x:f>(E142-F142)*G142*(1-I142)</x:f>
        <x:v>54</x:v>
      </x:c>
      <x:c r="N142" s="19" t="n">
        <x:f>(E142-F142)*H142</x:f>
        <x:v>24</x:v>
      </x:c>
      <x:c r="O142" s="19" t="n">
        <x:f>F142*J142</x:f>
        <x:v>0</x:v>
      </x:c>
      <x:c r="P142" s="19" t="n">
        <x:f>M142-N142-O142</x:f>
        <x:v>30</x:v>
      </x:c>
    </x:row>
    <x:row r="143">
      <x:c r="A143" s="15" t="str">
        <x:v>SIM-0139</x:v>
      </x:c>
      <x:c r="B143" s="15" t="str">
        <x:v>2026-01</x:v>
      </x:c>
      <x:c r="C143" s="15" t="str">
        <x:v>Accesorios</x:v>
      </x:c>
      <x:c r="D143" s="15" t="str">
        <x:v>Tienda</x:v>
      </x:c>
      <x:c r="E143" s="15" t="n">
        <x:v>1</x:v>
      </x:c>
      <x:c r="F143" s="15" t="n">
        <x:v>0</x:v>
      </x:c>
      <x:c r="G143" s="19" t="n">
        <x:v>30</x:v>
      </x:c>
      <x:c r="H143" s="19" t="n">
        <x:v>9</x:v>
      </x:c>
      <x:c r="I143" s="17" t="n">
        <x:v>0.1</x:v>
      </x:c>
      <x:c r="J143" s="19" t="n">
        <x:v>2</x:v>
      </x:c>
      <x:c r="K143" s="19" t="n">
        <x:f>E143*G143</x:f>
        <x:v>30</x:v>
      </x:c>
      <x:c r="L143" s="19" t="n">
        <x:f>K143*I143</x:f>
        <x:v>3</x:v>
      </x:c>
      <x:c r="M143" s="19" t="n">
        <x:f>(E143-F143)*G143*(1-I143)</x:f>
        <x:v>27</x:v>
      </x:c>
      <x:c r="N143" s="19" t="n">
        <x:f>(E143-F143)*H143</x:f>
        <x:v>9</x:v>
      </x:c>
      <x:c r="O143" s="19" t="n">
        <x:f>F143*J143</x:f>
        <x:v>0</x:v>
      </x:c>
      <x:c r="P143" s="19" t="n">
        <x:f>M143-N143-O143</x:f>
        <x:v>18</x:v>
      </x:c>
    </x:row>
    <x:row r="144">
      <x:c r="A144" s="15" t="str">
        <x:v>SIM-0140</x:v>
      </x:c>
      <x:c r="B144" s="15" t="str">
        <x:v>2026-01</x:v>
      </x:c>
      <x:c r="C144" s="15" t="str">
        <x:v>Calzado</x:v>
      </x:c>
      <x:c r="D144" s="15" t="str">
        <x:v>Tienda</x:v>
      </x:c>
      <x:c r="E144" s="15" t="n">
        <x:v>1</x:v>
      </x:c>
      <x:c r="F144" s="15" t="n">
        <x:v>0</x:v>
      </x:c>
      <x:c r="G144" s="19" t="n">
        <x:v>90</x:v>
      </x:c>
      <x:c r="H144" s="19" t="n">
        <x:v>42</x:v>
      </x:c>
      <x:c r="I144" s="17" t="n">
        <x:v>0.1</x:v>
      </x:c>
      <x:c r="J144" s="19" t="n">
        <x:v>2</x:v>
      </x:c>
      <x:c r="K144" s="19" t="n">
        <x:f>E144*G144</x:f>
        <x:v>90</x:v>
      </x:c>
      <x:c r="L144" s="19" t="n">
        <x:f>K144*I144</x:f>
        <x:v>9</x:v>
      </x:c>
      <x:c r="M144" s="19" t="n">
        <x:f>(E144-F144)*G144*(1-I144)</x:f>
        <x:v>81</x:v>
      </x:c>
      <x:c r="N144" s="19" t="n">
        <x:f>(E144-F144)*H144</x:f>
        <x:v>42</x:v>
      </x:c>
      <x:c r="O144" s="19" t="n">
        <x:f>F144*J144</x:f>
        <x:v>0</x:v>
      </x:c>
      <x:c r="P144" s="19" t="n">
        <x:f>M144-N144-O144</x:f>
        <x:v>39</x:v>
      </x:c>
    </x:row>
    <x:row r="145">
      <x:c r="A145" s="15" t="str">
        <x:v>SIM-0141</x:v>
      </x:c>
      <x:c r="B145" s="15" t="str">
        <x:v>2026-01</x:v>
      </x:c>
      <x:c r="C145" s="15" t="str">
        <x:v>Calzado</x:v>
      </x:c>
      <x:c r="D145" s="15" t="str">
        <x:v>Tienda</x:v>
      </x:c>
      <x:c r="E145" s="15" t="n">
        <x:v>1</x:v>
      </x:c>
      <x:c r="F145" s="15" t="n">
        <x:v>0</x:v>
      </x:c>
      <x:c r="G145" s="19" t="n">
        <x:v>90</x:v>
      </x:c>
      <x:c r="H145" s="19" t="n">
        <x:v>42</x:v>
      </x:c>
      <x:c r="I145" s="17" t="n">
        <x:v>0.1</x:v>
      </x:c>
      <x:c r="J145" s="19" t="n">
        <x:v>2</x:v>
      </x:c>
      <x:c r="K145" s="19" t="n">
        <x:f>E145*G145</x:f>
        <x:v>90</x:v>
      </x:c>
      <x:c r="L145" s="19" t="n">
        <x:f>K145*I145</x:f>
        <x:v>9</x:v>
      </x:c>
      <x:c r="M145" s="19" t="n">
        <x:f>(E145-F145)*G145*(1-I145)</x:f>
        <x:v>81</x:v>
      </x:c>
      <x:c r="N145" s="19" t="n">
        <x:f>(E145-F145)*H145</x:f>
        <x:v>42</x:v>
      </x:c>
      <x:c r="O145" s="19" t="n">
        <x:f>F145*J145</x:f>
        <x:v>0</x:v>
      </x:c>
      <x:c r="P145" s="19" t="n">
        <x:f>M145-N145-O145</x:f>
        <x:v>39</x:v>
      </x:c>
    </x:row>
    <x:row r="146">
      <x:c r="A146" s="15" t="str">
        <x:v>SIM-0142</x:v>
      </x:c>
      <x:c r="B146" s="15" t="str">
        <x:v>2026-01</x:v>
      </x:c>
      <x:c r="C146" s="15" t="str">
        <x:v>Prendas</x:v>
      </x:c>
      <x:c r="D146" s="15" t="str">
        <x:v>Tienda</x:v>
      </x:c>
      <x:c r="E146" s="15" t="n">
        <x:v>1</x:v>
      </x:c>
      <x:c r="F146" s="15" t="n">
        <x:v>0</x:v>
      </x:c>
      <x:c r="G146" s="19" t="n">
        <x:v>60</x:v>
      </x:c>
      <x:c r="H146" s="19" t="n">
        <x:v>24</x:v>
      </x:c>
      <x:c r="I146" s="17" t="n">
        <x:v>0</x:v>
      </x:c>
      <x:c r="J146" s="19" t="n">
        <x:v>2</x:v>
      </x:c>
      <x:c r="K146" s="19" t="n">
        <x:f>E146*G146</x:f>
        <x:v>60</x:v>
      </x:c>
      <x:c r="L146" s="19" t="n">
        <x:f>K146*I146</x:f>
        <x:v>0</x:v>
      </x:c>
      <x:c r="M146" s="19" t="n">
        <x:f>(E146-F146)*G146*(1-I146)</x:f>
        <x:v>60</x:v>
      </x:c>
      <x:c r="N146" s="19" t="n">
        <x:f>(E146-F146)*H146</x:f>
        <x:v>24</x:v>
      </x:c>
      <x:c r="O146" s="19" t="n">
        <x:f>F146*J146</x:f>
        <x:v>0</x:v>
      </x:c>
      <x:c r="P146" s="19" t="n">
        <x:f>M146-N146-O146</x:f>
        <x:v>36</x:v>
      </x:c>
    </x:row>
    <x:row r="147">
      <x:c r="A147" s="15" t="str">
        <x:v>SIM-0143</x:v>
      </x:c>
      <x:c r="B147" s="15" t="str">
        <x:v>2026-01</x:v>
      </x:c>
      <x:c r="C147" s="15" t="str">
        <x:v>Calzado</x:v>
      </x:c>
      <x:c r="D147" s="15" t="str">
        <x:v>Online</x:v>
      </x:c>
      <x:c r="E147" s="15" t="n">
        <x:v>1</x:v>
      </x:c>
      <x:c r="F147" s="15" t="n">
        <x:v>1</x:v>
      </x:c>
      <x:c r="G147" s="19" t="n">
        <x:v>90</x:v>
      </x:c>
      <x:c r="H147" s="19" t="n">
        <x:v>42</x:v>
      </x:c>
      <x:c r="I147" s="17" t="n">
        <x:v>0.2</x:v>
      </x:c>
      <x:c r="J147" s="19" t="n">
        <x:v>6</x:v>
      </x:c>
      <x:c r="K147" s="19" t="n">
        <x:f>E147*G147</x:f>
        <x:v>90</x:v>
      </x:c>
      <x:c r="L147" s="19" t="n">
        <x:f>K147*I147</x:f>
        <x:v>18</x:v>
      </x:c>
      <x:c r="M147" s="19" t="n">
        <x:f>(E147-F147)*G147*(1-I147)</x:f>
        <x:v>0</x:v>
      </x:c>
      <x:c r="N147" s="19" t="n">
        <x:f>(E147-F147)*H147</x:f>
        <x:v>0</x:v>
      </x:c>
      <x:c r="O147" s="19" t="n">
        <x:f>F147*J147</x:f>
        <x:v>6</x:v>
      </x:c>
      <x:c r="P147" s="19" t="n">
        <x:f>M147-N147-O147</x:f>
        <x:v>-6</x:v>
      </x:c>
    </x:row>
    <x:row r="148">
      <x:c r="A148" s="15" t="str">
        <x:v>SIM-0144</x:v>
      </x:c>
      <x:c r="B148" s="15" t="str">
        <x:v>2026-01</x:v>
      </x:c>
      <x:c r="C148" s="15" t="str">
        <x:v>Prendas</x:v>
      </x:c>
      <x:c r="D148" s="15" t="str">
        <x:v>Online</x:v>
      </x:c>
      <x:c r="E148" s="15" t="n">
        <x:v>1</x:v>
      </x:c>
      <x:c r="F148" s="15" t="n">
        <x:v>0</x:v>
      </x:c>
      <x:c r="G148" s="19" t="n">
        <x:v>60</x:v>
      </x:c>
      <x:c r="H148" s="19" t="n">
        <x:v>24</x:v>
      </x:c>
      <x:c r="I148" s="17" t="n">
        <x:v>0.3</x:v>
      </x:c>
      <x:c r="J148" s="19" t="n">
        <x:v>6</x:v>
      </x:c>
      <x:c r="K148" s="19" t="n">
        <x:f>E148*G148</x:f>
        <x:v>60</x:v>
      </x:c>
      <x:c r="L148" s="19" t="n">
        <x:f>K148*I148</x:f>
        <x:v>18</x:v>
      </x:c>
      <x:c r="M148" s="19" t="n">
        <x:f>(E148-F148)*G148*(1-I148)</x:f>
        <x:v>42</x:v>
      </x:c>
      <x:c r="N148" s="19" t="n">
        <x:f>(E148-F148)*H148</x:f>
        <x:v>24</x:v>
      </x:c>
      <x:c r="O148" s="19" t="n">
        <x:f>F148*J148</x:f>
        <x:v>0</x:v>
      </x:c>
      <x:c r="P148" s="19" t="n">
        <x:f>M148-N148-O148</x:f>
        <x:v>18</x:v>
      </x:c>
    </x:row>
    <x:row r="149">
      <x:c r="A149" s="15" t="str">
        <x:v>SIM-0145</x:v>
      </x:c>
      <x:c r="B149" s="15" t="str">
        <x:v>2026-01</x:v>
      </x:c>
      <x:c r="C149" s="15" t="str">
        <x:v>Prendas</x:v>
      </x:c>
      <x:c r="D149" s="15" t="str">
        <x:v>Tienda</x:v>
      </x:c>
      <x:c r="E149" s="15" t="n">
        <x:v>1</x:v>
      </x:c>
      <x:c r="F149" s="15" t="n">
        <x:v>0</x:v>
      </x:c>
      <x:c r="G149" s="19" t="n">
        <x:v>60</x:v>
      </x:c>
      <x:c r="H149" s="19" t="n">
        <x:v>24</x:v>
      </x:c>
      <x:c r="I149" s="17" t="n">
        <x:v>0</x:v>
      </x:c>
      <x:c r="J149" s="19" t="n">
        <x:v>2</x:v>
      </x:c>
      <x:c r="K149" s="19" t="n">
        <x:f>E149*G149</x:f>
        <x:v>60</x:v>
      </x:c>
      <x:c r="L149" s="19" t="n">
        <x:f>K149*I149</x:f>
        <x:v>0</x:v>
      </x:c>
      <x:c r="M149" s="19" t="n">
        <x:f>(E149-F149)*G149*(1-I149)</x:f>
        <x:v>60</x:v>
      </x:c>
      <x:c r="N149" s="19" t="n">
        <x:f>(E149-F149)*H149</x:f>
        <x:v>24</x:v>
      </x:c>
      <x:c r="O149" s="19" t="n">
        <x:f>F149*J149</x:f>
        <x:v>0</x:v>
      </x:c>
      <x:c r="P149" s="19" t="n">
        <x:f>M149-N149-O149</x:f>
        <x:v>36</x:v>
      </x:c>
    </x:row>
    <x:row r="150">
      <x:c r="A150" s="15" t="str">
        <x:v>SIM-0146</x:v>
      </x:c>
      <x:c r="B150" s="15" t="str">
        <x:v>2026-01</x:v>
      </x:c>
      <x:c r="C150" s="15" t="str">
        <x:v>Accesorios</x:v>
      </x:c>
      <x:c r="D150" s="15" t="str">
        <x:v>Online</x:v>
      </x:c>
      <x:c r="E150" s="15" t="n">
        <x:v>1</x:v>
      </x:c>
      <x:c r="F150" s="15" t="n">
        <x:v>0</x:v>
      </x:c>
      <x:c r="G150" s="19" t="n">
        <x:v>30</x:v>
      </x:c>
      <x:c r="H150" s="19" t="n">
        <x:v>9</x:v>
      </x:c>
      <x:c r="I150" s="17" t="n">
        <x:v>0.1</x:v>
      </x:c>
      <x:c r="J150" s="19" t="n">
        <x:v>6</x:v>
      </x:c>
      <x:c r="K150" s="19" t="n">
        <x:f>E150*G150</x:f>
        <x:v>30</x:v>
      </x:c>
      <x:c r="L150" s="19" t="n">
        <x:f>K150*I150</x:f>
        <x:v>3</x:v>
      </x:c>
      <x:c r="M150" s="19" t="n">
        <x:f>(E150-F150)*G150*(1-I150)</x:f>
        <x:v>27</x:v>
      </x:c>
      <x:c r="N150" s="19" t="n">
        <x:f>(E150-F150)*H150</x:f>
        <x:v>9</x:v>
      </x:c>
      <x:c r="O150" s="19" t="n">
        <x:f>F150*J150</x:f>
        <x:v>0</x:v>
      </x:c>
      <x:c r="P150" s="19" t="n">
        <x:f>M150-N150-O150</x:f>
        <x:v>18</x:v>
      </x:c>
    </x:row>
    <x:row r="151">
      <x:c r="A151" s="15" t="str">
        <x:v>SIM-0147</x:v>
      </x:c>
      <x:c r="B151" s="15" t="str">
        <x:v>2026-01</x:v>
      </x:c>
      <x:c r="C151" s="15" t="str">
        <x:v>Prendas</x:v>
      </x:c>
      <x:c r="D151" s="15" t="str">
        <x:v>Online</x:v>
      </x:c>
      <x:c r="E151" s="15" t="n">
        <x:v>1</x:v>
      </x:c>
      <x:c r="F151" s="15" t="n">
        <x:v>0</x:v>
      </x:c>
      <x:c r="G151" s="19" t="n">
        <x:v>60</x:v>
      </x:c>
      <x:c r="H151" s="19" t="n">
        <x:v>24</x:v>
      </x:c>
      <x:c r="I151" s="17" t="n">
        <x:v>0.2</x:v>
      </x:c>
      <x:c r="J151" s="19" t="n">
        <x:v>6</x:v>
      </x:c>
      <x:c r="K151" s="19" t="n">
        <x:f>E151*G151</x:f>
        <x:v>60</x:v>
      </x:c>
      <x:c r="L151" s="19" t="n">
        <x:f>K151*I151</x:f>
        <x:v>12</x:v>
      </x:c>
      <x:c r="M151" s="19" t="n">
        <x:f>(E151-F151)*G151*(1-I151)</x:f>
        <x:v>48</x:v>
      </x:c>
      <x:c r="N151" s="19" t="n">
        <x:f>(E151-F151)*H151</x:f>
        <x:v>24</x:v>
      </x:c>
      <x:c r="O151" s="19" t="n">
        <x:f>F151*J151</x:f>
        <x:v>0</x:v>
      </x:c>
      <x:c r="P151" s="19" t="n">
        <x:f>M151-N151-O151</x:f>
        <x:v>24</x:v>
      </x:c>
    </x:row>
    <x:row r="152">
      <x:c r="A152" s="15" t="str">
        <x:v>SIM-0148</x:v>
      </x:c>
      <x:c r="B152" s="15" t="str">
        <x:v>2026-01</x:v>
      </x:c>
      <x:c r="C152" s="15" t="str">
        <x:v>Prendas</x:v>
      </x:c>
      <x:c r="D152" s="15" t="str">
        <x:v>Tienda</x:v>
      </x:c>
      <x:c r="E152" s="15" t="n">
        <x:v>1</x:v>
      </x:c>
      <x:c r="F152" s="15" t="n">
        <x:v>0</x:v>
      </x:c>
      <x:c r="G152" s="19" t="n">
        <x:v>60</x:v>
      </x:c>
      <x:c r="H152" s="19" t="n">
        <x:v>24</x:v>
      </x:c>
      <x:c r="I152" s="17" t="n">
        <x:v>0.3</x:v>
      </x:c>
      <x:c r="J152" s="19" t="n">
        <x:v>2</x:v>
      </x:c>
      <x:c r="K152" s="19" t="n">
        <x:f>E152*G152</x:f>
        <x:v>60</x:v>
      </x:c>
      <x:c r="L152" s="19" t="n">
        <x:f>K152*I152</x:f>
        <x:v>18</x:v>
      </x:c>
      <x:c r="M152" s="19" t="n">
        <x:f>(E152-F152)*G152*(1-I152)</x:f>
        <x:v>42</x:v>
      </x:c>
      <x:c r="N152" s="19" t="n">
        <x:f>(E152-F152)*H152</x:f>
        <x:v>24</x:v>
      </x:c>
      <x:c r="O152" s="19" t="n">
        <x:f>F152*J152</x:f>
        <x:v>0</x:v>
      </x:c>
      <x:c r="P152" s="19" t="n">
        <x:f>M152-N152-O152</x:f>
        <x:v>18</x:v>
      </x:c>
    </x:row>
    <x:row r="153">
      <x:c r="A153" s="15" t="str">
        <x:v>SIM-0149</x:v>
      </x:c>
      <x:c r="B153" s="15" t="str">
        <x:v>2026-01</x:v>
      </x:c>
      <x:c r="C153" s="15" t="str">
        <x:v>Calzado</x:v>
      </x:c>
      <x:c r="D153" s="15" t="str">
        <x:v>Tienda</x:v>
      </x:c>
      <x:c r="E153" s="15" t="n">
        <x:v>3</x:v>
      </x:c>
      <x:c r="F153" s="15" t="n">
        <x:v>0</x:v>
      </x:c>
      <x:c r="G153" s="19" t="n">
        <x:v>90</x:v>
      </x:c>
      <x:c r="H153" s="19" t="n">
        <x:v>42</x:v>
      </x:c>
      <x:c r="I153" s="17" t="n">
        <x:v>0.2</x:v>
      </x:c>
      <x:c r="J153" s="19" t="n">
        <x:v>2</x:v>
      </x:c>
      <x:c r="K153" s="19" t="n">
        <x:f>E153*G153</x:f>
        <x:v>270</x:v>
      </x:c>
      <x:c r="L153" s="19" t="n">
        <x:f>K153*I153</x:f>
        <x:v>54</x:v>
      </x:c>
      <x:c r="M153" s="19" t="n">
        <x:f>(E153-F153)*G153*(1-I153)</x:f>
        <x:v>216</x:v>
      </x:c>
      <x:c r="N153" s="19" t="n">
        <x:f>(E153-F153)*H153</x:f>
        <x:v>126</x:v>
      </x:c>
      <x:c r="O153" s="19" t="n">
        <x:f>F153*J153</x:f>
        <x:v>0</x:v>
      </x:c>
      <x:c r="P153" s="19" t="n">
        <x:f>M153-N153-O153</x:f>
        <x:v>90</x:v>
      </x:c>
    </x:row>
    <x:row r="154">
      <x:c r="A154" s="15" t="str">
        <x:v>SIM-0150</x:v>
      </x:c>
      <x:c r="B154" s="15" t="str">
        <x:v>2026-01</x:v>
      </x:c>
      <x:c r="C154" s="15" t="str">
        <x:v>Prendas</x:v>
      </x:c>
      <x:c r="D154" s="15" t="str">
        <x:v>Online</x:v>
      </x:c>
      <x:c r="E154" s="15" t="n">
        <x:v>1</x:v>
      </x:c>
      <x:c r="F154" s="15" t="n">
        <x:v>0</x:v>
      </x:c>
      <x:c r="G154" s="19" t="n">
        <x:v>60</x:v>
      </x:c>
      <x:c r="H154" s="19" t="n">
        <x:v>24</x:v>
      </x:c>
      <x:c r="I154" s="17" t="n">
        <x:v>0.3</x:v>
      </x:c>
      <x:c r="J154" s="19" t="n">
        <x:v>6</x:v>
      </x:c>
      <x:c r="K154" s="19" t="n">
        <x:f>E154*G154</x:f>
        <x:v>60</x:v>
      </x:c>
      <x:c r="L154" s="19" t="n">
        <x:f>K154*I154</x:f>
        <x:v>18</x:v>
      </x:c>
      <x:c r="M154" s="19" t="n">
        <x:f>(E154-F154)*G154*(1-I154)</x:f>
        <x:v>42</x:v>
      </x:c>
      <x:c r="N154" s="19" t="n">
        <x:f>(E154-F154)*H154</x:f>
        <x:v>24</x:v>
      </x:c>
      <x:c r="O154" s="19" t="n">
        <x:f>F154*J154</x:f>
        <x:v>0</x:v>
      </x:c>
      <x:c r="P154" s="19" t="n">
        <x:f>M154-N154-O154</x:f>
        <x:v>18</x:v>
      </x:c>
    </x:row>
    <x:row r="155">
      <x:c r="A155" s="15" t="str">
        <x:v>SIM-0151</x:v>
      </x:c>
      <x:c r="B155" s="15" t="str">
        <x:v>2026-01</x:v>
      </x:c>
      <x:c r="C155" s="15" t="str">
        <x:v>Accesorios</x:v>
      </x:c>
      <x:c r="D155" s="15" t="str">
        <x:v>Online</x:v>
      </x:c>
      <x:c r="E155" s="15" t="n">
        <x:v>1</x:v>
      </x:c>
      <x:c r="F155" s="15" t="n">
        <x:v>0</x:v>
      </x:c>
      <x:c r="G155" s="19" t="n">
        <x:v>30</x:v>
      </x:c>
      <x:c r="H155" s="19" t="n">
        <x:v>9</x:v>
      </x:c>
      <x:c r="I155" s="17" t="n">
        <x:v>0.1</x:v>
      </x:c>
      <x:c r="J155" s="19" t="n">
        <x:v>6</x:v>
      </x:c>
      <x:c r="K155" s="19" t="n">
        <x:f>E155*G155</x:f>
        <x:v>30</x:v>
      </x:c>
      <x:c r="L155" s="19" t="n">
        <x:f>K155*I155</x:f>
        <x:v>3</x:v>
      </x:c>
      <x:c r="M155" s="19" t="n">
        <x:f>(E155-F155)*G155*(1-I155)</x:f>
        <x:v>27</x:v>
      </x:c>
      <x:c r="N155" s="19" t="n">
        <x:f>(E155-F155)*H155</x:f>
        <x:v>9</x:v>
      </x:c>
      <x:c r="O155" s="19" t="n">
        <x:f>F155*J155</x:f>
        <x:v>0</x:v>
      </x:c>
      <x:c r="P155" s="19" t="n">
        <x:f>M155-N155-O155</x:f>
        <x:v>18</x:v>
      </x:c>
    </x:row>
    <x:row r="156">
      <x:c r="A156" s="15" t="str">
        <x:v>SIM-0152</x:v>
      </x:c>
      <x:c r="B156" s="15" t="str">
        <x:v>2026-01</x:v>
      </x:c>
      <x:c r="C156" s="15" t="str">
        <x:v>Prendas</x:v>
      </x:c>
      <x:c r="D156" s="15" t="str">
        <x:v>Online</x:v>
      </x:c>
      <x:c r="E156" s="15" t="n">
        <x:v>1</x:v>
      </x:c>
      <x:c r="F156" s="15" t="n">
        <x:v>0</x:v>
      </x:c>
      <x:c r="G156" s="19" t="n">
        <x:v>60</x:v>
      </x:c>
      <x:c r="H156" s="19" t="n">
        <x:v>24</x:v>
      </x:c>
      <x:c r="I156" s="17" t="n">
        <x:v>0.1</x:v>
      </x:c>
      <x:c r="J156" s="19" t="n">
        <x:v>6</x:v>
      </x:c>
      <x:c r="K156" s="19" t="n">
        <x:f>E156*G156</x:f>
        <x:v>60</x:v>
      </x:c>
      <x:c r="L156" s="19" t="n">
        <x:f>K156*I156</x:f>
        <x:v>6</x:v>
      </x:c>
      <x:c r="M156" s="19" t="n">
        <x:f>(E156-F156)*G156*(1-I156)</x:f>
        <x:v>54</x:v>
      </x:c>
      <x:c r="N156" s="19" t="n">
        <x:f>(E156-F156)*H156</x:f>
        <x:v>24</x:v>
      </x:c>
      <x:c r="O156" s="19" t="n">
        <x:f>F156*J156</x:f>
        <x:v>0</x:v>
      </x:c>
      <x:c r="P156" s="19" t="n">
        <x:f>M156-N156-O156</x:f>
        <x:v>30</x:v>
      </x:c>
    </x:row>
    <x:row r="157">
      <x:c r="A157" s="15" t="str">
        <x:v>SIM-0153</x:v>
      </x:c>
      <x:c r="B157" s="15" t="str">
        <x:v>2026-01</x:v>
      </x:c>
      <x:c r="C157" s="15" t="str">
        <x:v>Calzado</x:v>
      </x:c>
      <x:c r="D157" s="15" t="str">
        <x:v>Tienda</x:v>
      </x:c>
      <x:c r="E157" s="15" t="n">
        <x:v>1</x:v>
      </x:c>
      <x:c r="F157" s="15" t="n">
        <x:v>0</x:v>
      </x:c>
      <x:c r="G157" s="19" t="n">
        <x:v>90</x:v>
      </x:c>
      <x:c r="H157" s="19" t="n">
        <x:v>42</x:v>
      </x:c>
      <x:c r="I157" s="17" t="n">
        <x:v>0.1</x:v>
      </x:c>
      <x:c r="J157" s="19" t="n">
        <x:v>2</x:v>
      </x:c>
      <x:c r="K157" s="19" t="n">
        <x:f>E157*G157</x:f>
        <x:v>90</x:v>
      </x:c>
      <x:c r="L157" s="19" t="n">
        <x:f>K157*I157</x:f>
        <x:v>9</x:v>
      </x:c>
      <x:c r="M157" s="19" t="n">
        <x:f>(E157-F157)*G157*(1-I157)</x:f>
        <x:v>81</x:v>
      </x:c>
      <x:c r="N157" s="19" t="n">
        <x:f>(E157-F157)*H157</x:f>
        <x:v>42</x:v>
      </x:c>
      <x:c r="O157" s="19" t="n">
        <x:f>F157*J157</x:f>
        <x:v>0</x:v>
      </x:c>
      <x:c r="P157" s="19" t="n">
        <x:f>M157-N157-O157</x:f>
        <x:v>39</x:v>
      </x:c>
    </x:row>
    <x:row r="158">
      <x:c r="A158" s="15" t="str">
        <x:v>SIM-0154</x:v>
      </x:c>
      <x:c r="B158" s="15" t="str">
        <x:v>2026-01</x:v>
      </x:c>
      <x:c r="C158" s="15" t="str">
        <x:v>Calzado</x:v>
      </x:c>
      <x:c r="D158" s="15" t="str">
        <x:v>Online</x:v>
      </x:c>
      <x:c r="E158" s="15" t="n">
        <x:v>1</x:v>
      </x:c>
      <x:c r="F158" s="15" t="n">
        <x:v>1</x:v>
      </x:c>
      <x:c r="G158" s="19" t="n">
        <x:v>90</x:v>
      </x:c>
      <x:c r="H158" s="19" t="n">
        <x:v>42</x:v>
      </x:c>
      <x:c r="I158" s="17" t="n">
        <x:v>0.1</x:v>
      </x:c>
      <x:c r="J158" s="19" t="n">
        <x:v>6</x:v>
      </x:c>
      <x:c r="K158" s="19" t="n">
        <x:f>E158*G158</x:f>
        <x:v>90</x:v>
      </x:c>
      <x:c r="L158" s="19" t="n">
        <x:f>K158*I158</x:f>
        <x:v>9</x:v>
      </x:c>
      <x:c r="M158" s="19" t="n">
        <x:f>(E158-F158)*G158*(1-I158)</x:f>
        <x:v>0</x:v>
      </x:c>
      <x:c r="N158" s="19" t="n">
        <x:f>(E158-F158)*H158</x:f>
        <x:v>0</x:v>
      </x:c>
      <x:c r="O158" s="19" t="n">
        <x:f>F158*J158</x:f>
        <x:v>6</x:v>
      </x:c>
      <x:c r="P158" s="19" t="n">
        <x:f>M158-N158-O158</x:f>
        <x:v>-6</x:v>
      </x:c>
    </x:row>
    <x:row r="159">
      <x:c r="A159" s="15" t="str">
        <x:v>SIM-0155</x:v>
      </x:c>
      <x:c r="B159" s="15" t="str">
        <x:v>2026-01</x:v>
      </x:c>
      <x:c r="C159" s="15" t="str">
        <x:v>Calzado</x:v>
      </x:c>
      <x:c r="D159" s="15" t="str">
        <x:v>Online</x:v>
      </x:c>
      <x:c r="E159" s="15" t="n">
        <x:v>1</x:v>
      </x:c>
      <x:c r="F159" s="15" t="n">
        <x:v>1</x:v>
      </x:c>
      <x:c r="G159" s="19" t="n">
        <x:v>90</x:v>
      </x:c>
      <x:c r="H159" s="19" t="n">
        <x:v>42</x:v>
      </x:c>
      <x:c r="I159" s="17" t="n">
        <x:v>0</x:v>
      </x:c>
      <x:c r="J159" s="19" t="n">
        <x:v>6</x:v>
      </x:c>
      <x:c r="K159" s="19" t="n">
        <x:f>E159*G159</x:f>
        <x:v>90</x:v>
      </x:c>
      <x:c r="L159" s="19" t="n">
        <x:f>K159*I159</x:f>
        <x:v>0</x:v>
      </x:c>
      <x:c r="M159" s="19" t="n">
        <x:f>(E159-F159)*G159*(1-I159)</x:f>
        <x:v>0</x:v>
      </x:c>
      <x:c r="N159" s="19" t="n">
        <x:f>(E159-F159)*H159</x:f>
        <x:v>0</x:v>
      </x:c>
      <x:c r="O159" s="19" t="n">
        <x:f>F159*J159</x:f>
        <x:v>6</x:v>
      </x:c>
      <x:c r="P159" s="19" t="n">
        <x:f>M159-N159-O159</x:f>
        <x:v>-6</x:v>
      </x:c>
    </x:row>
    <x:row r="160">
      <x:c r="A160" s="15" t="str">
        <x:v>SIM-0156</x:v>
      </x:c>
      <x:c r="B160" s="15" t="str">
        <x:v>2026-01</x:v>
      </x:c>
      <x:c r="C160" s="15" t="str">
        <x:v>Prendas</x:v>
      </x:c>
      <x:c r="D160" s="15" t="str">
        <x:v>Tienda</x:v>
      </x:c>
      <x:c r="E160" s="15" t="n">
        <x:v>2</x:v>
      </x:c>
      <x:c r="F160" s="15" t="n">
        <x:v>0</x:v>
      </x:c>
      <x:c r="G160" s="19" t="n">
        <x:v>60</x:v>
      </x:c>
      <x:c r="H160" s="19" t="n">
        <x:v>24</x:v>
      </x:c>
      <x:c r="I160" s="17" t="n">
        <x:v>0</x:v>
      </x:c>
      <x:c r="J160" s="19" t="n">
        <x:v>2</x:v>
      </x:c>
      <x:c r="K160" s="19" t="n">
        <x:f>E160*G160</x:f>
        <x:v>120</x:v>
      </x:c>
      <x:c r="L160" s="19" t="n">
        <x:f>K160*I160</x:f>
        <x:v>0</x:v>
      </x:c>
      <x:c r="M160" s="19" t="n">
        <x:f>(E160-F160)*G160*(1-I160)</x:f>
        <x:v>120</x:v>
      </x:c>
      <x:c r="N160" s="19" t="n">
        <x:f>(E160-F160)*H160</x:f>
        <x:v>48</x:v>
      </x:c>
      <x:c r="O160" s="19" t="n">
        <x:f>F160*J160</x:f>
        <x:v>0</x:v>
      </x:c>
      <x:c r="P160" s="19" t="n">
        <x:f>M160-N160-O160</x:f>
        <x:v>72</x:v>
      </x:c>
    </x:row>
    <x:row r="161">
      <x:c r="A161" s="15" t="str">
        <x:v>SIM-0157</x:v>
      </x:c>
      <x:c r="B161" s="15" t="str">
        <x:v>2026-01</x:v>
      </x:c>
      <x:c r="C161" s="15" t="str">
        <x:v>Prendas</x:v>
      </x:c>
      <x:c r="D161" s="15" t="str">
        <x:v>Tienda</x:v>
      </x:c>
      <x:c r="E161" s="15" t="n">
        <x:v>1</x:v>
      </x:c>
      <x:c r="F161" s="15" t="n">
        <x:v>0</x:v>
      </x:c>
      <x:c r="G161" s="19" t="n">
        <x:v>60</x:v>
      </x:c>
      <x:c r="H161" s="19" t="n">
        <x:v>24</x:v>
      </x:c>
      <x:c r="I161" s="17" t="n">
        <x:v>0.2</x:v>
      </x:c>
      <x:c r="J161" s="19" t="n">
        <x:v>2</x:v>
      </x:c>
      <x:c r="K161" s="19" t="n">
        <x:f>E161*G161</x:f>
        <x:v>60</x:v>
      </x:c>
      <x:c r="L161" s="19" t="n">
        <x:f>K161*I161</x:f>
        <x:v>12</x:v>
      </x:c>
      <x:c r="M161" s="19" t="n">
        <x:f>(E161-F161)*G161*(1-I161)</x:f>
        <x:v>48</x:v>
      </x:c>
      <x:c r="N161" s="19" t="n">
        <x:f>(E161-F161)*H161</x:f>
        <x:v>24</x:v>
      </x:c>
      <x:c r="O161" s="19" t="n">
        <x:f>F161*J161</x:f>
        <x:v>0</x:v>
      </x:c>
      <x:c r="P161" s="19" t="n">
        <x:f>M161-N161-O161</x:f>
        <x:v>24</x:v>
      </x:c>
    </x:row>
    <x:row r="162">
      <x:c r="A162" s="15" t="str">
        <x:v>SIM-0158</x:v>
      </x:c>
      <x:c r="B162" s="15" t="str">
        <x:v>2026-01</x:v>
      </x:c>
      <x:c r="C162" s="15" t="str">
        <x:v>Accesorios</x:v>
      </x:c>
      <x:c r="D162" s="15" t="str">
        <x:v>Tienda</x:v>
      </x:c>
      <x:c r="E162" s="15" t="n">
        <x:v>2</x:v>
      </x:c>
      <x:c r="F162" s="15" t="n">
        <x:v>0</x:v>
      </x:c>
      <x:c r="G162" s="19" t="n">
        <x:v>30</x:v>
      </x:c>
      <x:c r="H162" s="19" t="n">
        <x:v>9</x:v>
      </x:c>
      <x:c r="I162" s="17" t="n">
        <x:v>0.2</x:v>
      </x:c>
      <x:c r="J162" s="19" t="n">
        <x:v>2</x:v>
      </x:c>
      <x:c r="K162" s="19" t="n">
        <x:f>E162*G162</x:f>
        <x:v>60</x:v>
      </x:c>
      <x:c r="L162" s="19" t="n">
        <x:f>K162*I162</x:f>
        <x:v>12</x:v>
      </x:c>
      <x:c r="M162" s="19" t="n">
        <x:f>(E162-F162)*G162*(1-I162)</x:f>
        <x:v>48</x:v>
      </x:c>
      <x:c r="N162" s="19" t="n">
        <x:f>(E162-F162)*H162</x:f>
        <x:v>18</x:v>
      </x:c>
      <x:c r="O162" s="19" t="n">
        <x:f>F162*J162</x:f>
        <x:v>0</x:v>
      </x:c>
      <x:c r="P162" s="19" t="n">
        <x:f>M162-N162-O162</x:f>
        <x:v>30</x:v>
      </x:c>
    </x:row>
    <x:row r="163">
      <x:c r="A163" s="15" t="str">
        <x:v>SIM-0159</x:v>
      </x:c>
      <x:c r="B163" s="15" t="str">
        <x:v>2026-01</x:v>
      </x:c>
      <x:c r="C163" s="15" t="str">
        <x:v>Accesorios</x:v>
      </x:c>
      <x:c r="D163" s="15" t="str">
        <x:v>Tienda</x:v>
      </x:c>
      <x:c r="E163" s="15" t="n">
        <x:v>3</x:v>
      </x:c>
      <x:c r="F163" s="15" t="n">
        <x:v>0</x:v>
      </x:c>
      <x:c r="G163" s="19" t="n">
        <x:v>30</x:v>
      </x:c>
      <x:c r="H163" s="19" t="n">
        <x:v>9</x:v>
      </x:c>
      <x:c r="I163" s="17" t="n">
        <x:v>0</x:v>
      </x:c>
      <x:c r="J163" s="19" t="n">
        <x:v>2</x:v>
      </x:c>
      <x:c r="K163" s="19" t="n">
        <x:f>E163*G163</x:f>
        <x:v>90</x:v>
      </x:c>
      <x:c r="L163" s="19" t="n">
        <x:f>K163*I163</x:f>
        <x:v>0</x:v>
      </x:c>
      <x:c r="M163" s="19" t="n">
        <x:f>(E163-F163)*G163*(1-I163)</x:f>
        <x:v>90</x:v>
      </x:c>
      <x:c r="N163" s="19" t="n">
        <x:f>(E163-F163)*H163</x:f>
        <x:v>27</x:v>
      </x:c>
      <x:c r="O163" s="19" t="n">
        <x:f>F163*J163</x:f>
        <x:v>0</x:v>
      </x:c>
      <x:c r="P163" s="19" t="n">
        <x:f>M163-N163-O163</x:f>
        <x:v>63</x:v>
      </x:c>
    </x:row>
    <x:row r="164">
      <x:c r="A164" s="15" t="str">
        <x:v>SIM-0160</x:v>
      </x:c>
      <x:c r="B164" s="15" t="str">
        <x:v>2026-01</x:v>
      </x:c>
      <x:c r="C164" s="15" t="str">
        <x:v>Prendas</x:v>
      </x:c>
      <x:c r="D164" s="15" t="str">
        <x:v>Online</x:v>
      </x:c>
      <x:c r="E164" s="15" t="n">
        <x:v>3</x:v>
      </x:c>
      <x:c r="F164" s="15" t="n">
        <x:v>0</x:v>
      </x:c>
      <x:c r="G164" s="19" t="n">
        <x:v>60</x:v>
      </x:c>
      <x:c r="H164" s="19" t="n">
        <x:v>24</x:v>
      </x:c>
      <x:c r="I164" s="17" t="n">
        <x:v>0</x:v>
      </x:c>
      <x:c r="J164" s="19" t="n">
        <x:v>6</x:v>
      </x:c>
      <x:c r="K164" s="19" t="n">
        <x:f>E164*G164</x:f>
        <x:v>180</x:v>
      </x:c>
      <x:c r="L164" s="19" t="n">
        <x:f>K164*I164</x:f>
        <x:v>0</x:v>
      </x:c>
      <x:c r="M164" s="19" t="n">
        <x:f>(E164-F164)*G164*(1-I164)</x:f>
        <x:v>180</x:v>
      </x:c>
      <x:c r="N164" s="19" t="n">
        <x:f>(E164-F164)*H164</x:f>
        <x:v>72</x:v>
      </x:c>
      <x:c r="O164" s="19" t="n">
        <x:f>F164*J164</x:f>
        <x:v>0</x:v>
      </x:c>
      <x:c r="P164" s="19" t="n">
        <x:f>M164-N164-O164</x:f>
        <x:v>108</x:v>
      </x:c>
    </x:row>
    <x:row r="165">
      <x:c r="A165" s="15" t="str">
        <x:v>SIM-0161</x:v>
      </x:c>
      <x:c r="B165" s="15" t="str">
        <x:v>2026-01</x:v>
      </x:c>
      <x:c r="C165" s="15" t="str">
        <x:v>Accesorios</x:v>
      </x:c>
      <x:c r="D165" s="15" t="str">
        <x:v>Online</x:v>
      </x:c>
      <x:c r="E165" s="15" t="n">
        <x:v>2</x:v>
      </x:c>
      <x:c r="F165" s="15" t="n">
        <x:v>0</x:v>
      </x:c>
      <x:c r="G165" s="19" t="n">
        <x:v>30</x:v>
      </x:c>
      <x:c r="H165" s="19" t="n">
        <x:v>9</x:v>
      </x:c>
      <x:c r="I165" s="17" t="n">
        <x:v>0</x:v>
      </x:c>
      <x:c r="J165" s="19" t="n">
        <x:v>6</x:v>
      </x:c>
      <x:c r="K165" s="19" t="n">
        <x:f>E165*G165</x:f>
        <x:v>60</x:v>
      </x:c>
      <x:c r="L165" s="19" t="n">
        <x:f>K165*I165</x:f>
        <x:v>0</x:v>
      </x:c>
      <x:c r="M165" s="19" t="n">
        <x:f>(E165-F165)*G165*(1-I165)</x:f>
        <x:v>60</x:v>
      </x:c>
      <x:c r="N165" s="19" t="n">
        <x:f>(E165-F165)*H165</x:f>
        <x:v>18</x:v>
      </x:c>
      <x:c r="O165" s="19" t="n">
        <x:f>F165*J165</x:f>
        <x:v>0</x:v>
      </x:c>
      <x:c r="P165" s="19" t="n">
        <x:f>M165-N165-O165</x:f>
        <x:v>42</x:v>
      </x:c>
    </x:row>
    <x:row r="166">
      <x:c r="A166" s="15" t="str">
        <x:v>SIM-0162</x:v>
      </x:c>
      <x:c r="B166" s="15" t="str">
        <x:v>2026-01</x:v>
      </x:c>
      <x:c r="C166" s="15" t="str">
        <x:v>Accesorios</x:v>
      </x:c>
      <x:c r="D166" s="15" t="str">
        <x:v>Tienda</x:v>
      </x:c>
      <x:c r="E166" s="15" t="n">
        <x:v>3</x:v>
      </x:c>
      <x:c r="F166" s="15" t="n">
        <x:v>0</x:v>
      </x:c>
      <x:c r="G166" s="19" t="n">
        <x:v>30</x:v>
      </x:c>
      <x:c r="H166" s="19" t="n">
        <x:v>9</x:v>
      </x:c>
      <x:c r="I166" s="17" t="n">
        <x:v>0.2</x:v>
      </x:c>
      <x:c r="J166" s="19" t="n">
        <x:v>2</x:v>
      </x:c>
      <x:c r="K166" s="19" t="n">
        <x:f>E166*G166</x:f>
        <x:v>90</x:v>
      </x:c>
      <x:c r="L166" s="19" t="n">
        <x:f>K166*I166</x:f>
        <x:v>18</x:v>
      </x:c>
      <x:c r="M166" s="19" t="n">
        <x:f>(E166-F166)*G166*(1-I166)</x:f>
        <x:v>72</x:v>
      </x:c>
      <x:c r="N166" s="19" t="n">
        <x:f>(E166-F166)*H166</x:f>
        <x:v>27</x:v>
      </x:c>
      <x:c r="O166" s="19" t="n">
        <x:f>F166*J166</x:f>
        <x:v>0</x:v>
      </x:c>
      <x:c r="P166" s="19" t="n">
        <x:f>M166-N166-O166</x:f>
        <x:v>45</x:v>
      </x:c>
    </x:row>
    <x:row r="167">
      <x:c r="A167" s="15" t="str">
        <x:v>SIM-0163</x:v>
      </x:c>
      <x:c r="B167" s="15" t="str">
        <x:v>2026-01</x:v>
      </x:c>
      <x:c r="C167" s="15" t="str">
        <x:v>Calzado</x:v>
      </x:c>
      <x:c r="D167" s="15" t="str">
        <x:v>Tienda</x:v>
      </x:c>
      <x:c r="E167" s="15" t="n">
        <x:v>1</x:v>
      </x:c>
      <x:c r="F167" s="15" t="n">
        <x:v>0</x:v>
      </x:c>
      <x:c r="G167" s="19" t="n">
        <x:v>90</x:v>
      </x:c>
      <x:c r="H167" s="19" t="n">
        <x:v>42</x:v>
      </x:c>
      <x:c r="I167" s="17" t="n">
        <x:v>0.1</x:v>
      </x:c>
      <x:c r="J167" s="19" t="n">
        <x:v>2</x:v>
      </x:c>
      <x:c r="K167" s="19" t="n">
        <x:f>E167*G167</x:f>
        <x:v>90</x:v>
      </x:c>
      <x:c r="L167" s="19" t="n">
        <x:f>K167*I167</x:f>
        <x:v>9</x:v>
      </x:c>
      <x:c r="M167" s="19" t="n">
        <x:f>(E167-F167)*G167*(1-I167)</x:f>
        <x:v>81</x:v>
      </x:c>
      <x:c r="N167" s="19" t="n">
        <x:f>(E167-F167)*H167</x:f>
        <x:v>42</x:v>
      </x:c>
      <x:c r="O167" s="19" t="n">
        <x:f>F167*J167</x:f>
        <x:v>0</x:v>
      </x:c>
      <x:c r="P167" s="19" t="n">
        <x:f>M167-N167-O167</x:f>
        <x:v>39</x:v>
      </x:c>
    </x:row>
    <x:row r="168">
      <x:c r="A168" s="15" t="str">
        <x:v>SIM-0164</x:v>
      </x:c>
      <x:c r="B168" s="15" t="str">
        <x:v>2026-01</x:v>
      </x:c>
      <x:c r="C168" s="15" t="str">
        <x:v>Calzado</x:v>
      </x:c>
      <x:c r="D168" s="15" t="str">
        <x:v>Tienda</x:v>
      </x:c>
      <x:c r="E168" s="15" t="n">
        <x:v>3</x:v>
      </x:c>
      <x:c r="F168" s="15" t="n">
        <x:v>0</x:v>
      </x:c>
      <x:c r="G168" s="19" t="n">
        <x:v>90</x:v>
      </x:c>
      <x:c r="H168" s="19" t="n">
        <x:v>42</x:v>
      </x:c>
      <x:c r="I168" s="17" t="n">
        <x:v>0.2</x:v>
      </x:c>
      <x:c r="J168" s="19" t="n">
        <x:v>2</x:v>
      </x:c>
      <x:c r="K168" s="19" t="n">
        <x:f>E168*G168</x:f>
        <x:v>270</x:v>
      </x:c>
      <x:c r="L168" s="19" t="n">
        <x:f>K168*I168</x:f>
        <x:v>54</x:v>
      </x:c>
      <x:c r="M168" s="19" t="n">
        <x:f>(E168-F168)*G168*(1-I168)</x:f>
        <x:v>216</x:v>
      </x:c>
      <x:c r="N168" s="19" t="n">
        <x:f>(E168-F168)*H168</x:f>
        <x:v>126</x:v>
      </x:c>
      <x:c r="O168" s="19" t="n">
        <x:f>F168*J168</x:f>
        <x:v>0</x:v>
      </x:c>
      <x:c r="P168" s="19" t="n">
        <x:f>M168-N168-O168</x:f>
        <x:v>90</x:v>
      </x:c>
    </x:row>
    <x:row r="169">
      <x:c r="A169" s="15" t="str">
        <x:v>SIM-0165</x:v>
      </x:c>
      <x:c r="B169" s="15" t="str">
        <x:v>2026-01</x:v>
      </x:c>
      <x:c r="C169" s="15" t="str">
        <x:v>Calzado</x:v>
      </x:c>
      <x:c r="D169" s="15" t="str">
        <x:v>Tienda</x:v>
      </x:c>
      <x:c r="E169" s="15" t="n">
        <x:v>1</x:v>
      </x:c>
      <x:c r="F169" s="15" t="n">
        <x:v>0</x:v>
      </x:c>
      <x:c r="G169" s="19" t="n">
        <x:v>90</x:v>
      </x:c>
      <x:c r="H169" s="19" t="n">
        <x:v>42</x:v>
      </x:c>
      <x:c r="I169" s="17" t="n">
        <x:v>0</x:v>
      </x:c>
      <x:c r="J169" s="19" t="n">
        <x:v>2</x:v>
      </x:c>
      <x:c r="K169" s="19" t="n">
        <x:f>E169*G169</x:f>
        <x:v>90</x:v>
      </x:c>
      <x:c r="L169" s="19" t="n">
        <x:f>K169*I169</x:f>
        <x:v>0</x:v>
      </x:c>
      <x:c r="M169" s="19" t="n">
        <x:f>(E169-F169)*G169*(1-I169)</x:f>
        <x:v>90</x:v>
      </x:c>
      <x:c r="N169" s="19" t="n">
        <x:f>(E169-F169)*H169</x:f>
        <x:v>42</x:v>
      </x:c>
      <x:c r="O169" s="19" t="n">
        <x:f>F169*J169</x:f>
        <x:v>0</x:v>
      </x:c>
      <x:c r="P169" s="19" t="n">
        <x:f>M169-N169-O169</x:f>
        <x:v>48</x:v>
      </x:c>
    </x:row>
    <x:row r="170">
      <x:c r="A170" s="15" t="str">
        <x:v>SIM-0166</x:v>
      </x:c>
      <x:c r="B170" s="15" t="str">
        <x:v>2026-01</x:v>
      </x:c>
      <x:c r="C170" s="15" t="str">
        <x:v>Accesorios</x:v>
      </x:c>
      <x:c r="D170" s="15" t="str">
        <x:v>Online</x:v>
      </x:c>
      <x:c r="E170" s="15" t="n">
        <x:v>1</x:v>
      </x:c>
      <x:c r="F170" s="15" t="n">
        <x:v>0</x:v>
      </x:c>
      <x:c r="G170" s="19" t="n">
        <x:v>30</x:v>
      </x:c>
      <x:c r="H170" s="19" t="n">
        <x:v>9</x:v>
      </x:c>
      <x:c r="I170" s="17" t="n">
        <x:v>0.1</x:v>
      </x:c>
      <x:c r="J170" s="19" t="n">
        <x:v>6</x:v>
      </x:c>
      <x:c r="K170" s="19" t="n">
        <x:f>E170*G170</x:f>
        <x:v>30</x:v>
      </x:c>
      <x:c r="L170" s="19" t="n">
        <x:f>K170*I170</x:f>
        <x:v>3</x:v>
      </x:c>
      <x:c r="M170" s="19" t="n">
        <x:f>(E170-F170)*G170*(1-I170)</x:f>
        <x:v>27</x:v>
      </x:c>
      <x:c r="N170" s="19" t="n">
        <x:f>(E170-F170)*H170</x:f>
        <x:v>9</x:v>
      </x:c>
      <x:c r="O170" s="19" t="n">
        <x:f>F170*J170</x:f>
        <x:v>0</x:v>
      </x:c>
      <x:c r="P170" s="19" t="n">
        <x:f>M170-N170-O170</x:f>
        <x:v>18</x:v>
      </x:c>
    </x:row>
    <x:row r="171">
      <x:c r="A171" s="15" t="str">
        <x:v>SIM-0167</x:v>
      </x:c>
      <x:c r="B171" s="15" t="str">
        <x:v>2026-01</x:v>
      </x:c>
      <x:c r="C171" s="15" t="str">
        <x:v>Prendas</x:v>
      </x:c>
      <x:c r="D171" s="15" t="str">
        <x:v>Online</x:v>
      </x:c>
      <x:c r="E171" s="15" t="n">
        <x:v>2</x:v>
      </x:c>
      <x:c r="F171" s="15" t="n">
        <x:v>1</x:v>
      </x:c>
      <x:c r="G171" s="19" t="n">
        <x:v>60</x:v>
      </x:c>
      <x:c r="H171" s="19" t="n">
        <x:v>24</x:v>
      </x:c>
      <x:c r="I171" s="17" t="n">
        <x:v>0</x:v>
      </x:c>
      <x:c r="J171" s="19" t="n">
        <x:v>6</x:v>
      </x:c>
      <x:c r="K171" s="19" t="n">
        <x:f>E171*G171</x:f>
        <x:v>120</x:v>
      </x:c>
      <x:c r="L171" s="19" t="n">
        <x:f>K171*I171</x:f>
        <x:v>0</x:v>
      </x:c>
      <x:c r="M171" s="19" t="n">
        <x:f>(E171-F171)*G171*(1-I171)</x:f>
        <x:v>60</x:v>
      </x:c>
      <x:c r="N171" s="19" t="n">
        <x:f>(E171-F171)*H171</x:f>
        <x:v>24</x:v>
      </x:c>
      <x:c r="O171" s="19" t="n">
        <x:f>F171*J171</x:f>
        <x:v>6</x:v>
      </x:c>
      <x:c r="P171" s="19" t="n">
        <x:f>M171-N171-O171</x:f>
        <x:v>30</x:v>
      </x:c>
    </x:row>
    <x:row r="172">
      <x:c r="A172" s="15" t="str">
        <x:v>SIM-0168</x:v>
      </x:c>
      <x:c r="B172" s="15" t="str">
        <x:v>2026-01</x:v>
      </x:c>
      <x:c r="C172" s="15" t="str">
        <x:v>Accesorios</x:v>
      </x:c>
      <x:c r="D172" s="15" t="str">
        <x:v>Tienda</x:v>
      </x:c>
      <x:c r="E172" s="15" t="n">
        <x:v>2</x:v>
      </x:c>
      <x:c r="F172" s="15" t="n">
        <x:v>0</x:v>
      </x:c>
      <x:c r="G172" s="19" t="n">
        <x:v>30</x:v>
      </x:c>
      <x:c r="H172" s="19" t="n">
        <x:v>9</x:v>
      </x:c>
      <x:c r="I172" s="17" t="n">
        <x:v>0</x:v>
      </x:c>
      <x:c r="J172" s="19" t="n">
        <x:v>2</x:v>
      </x:c>
      <x:c r="K172" s="19" t="n">
        <x:f>E172*G172</x:f>
        <x:v>60</x:v>
      </x:c>
      <x:c r="L172" s="19" t="n">
        <x:f>K172*I172</x:f>
        <x:v>0</x:v>
      </x:c>
      <x:c r="M172" s="19" t="n">
        <x:f>(E172-F172)*G172*(1-I172)</x:f>
        <x:v>60</x:v>
      </x:c>
      <x:c r="N172" s="19" t="n">
        <x:f>(E172-F172)*H172</x:f>
        <x:v>18</x:v>
      </x:c>
      <x:c r="O172" s="19" t="n">
        <x:f>F172*J172</x:f>
        <x:v>0</x:v>
      </x:c>
      <x:c r="P172" s="19" t="n">
        <x:f>M172-N172-O172</x:f>
        <x:v>42</x:v>
      </x:c>
    </x:row>
    <x:row r="173">
      <x:c r="A173" s="15" t="str">
        <x:v>SIM-0169</x:v>
      </x:c>
      <x:c r="B173" s="15" t="str">
        <x:v>2026-01</x:v>
      </x:c>
      <x:c r="C173" s="15" t="str">
        <x:v>Prendas</x:v>
      </x:c>
      <x:c r="D173" s="15" t="str">
        <x:v>Tienda</x:v>
      </x:c>
      <x:c r="E173" s="15" t="n">
        <x:v>1</x:v>
      </x:c>
      <x:c r="F173" s="15" t="n">
        <x:v>0</x:v>
      </x:c>
      <x:c r="G173" s="19" t="n">
        <x:v>60</x:v>
      </x:c>
      <x:c r="H173" s="19" t="n">
        <x:v>24</x:v>
      </x:c>
      <x:c r="I173" s="17" t="n">
        <x:v>0</x:v>
      </x:c>
      <x:c r="J173" s="19" t="n">
        <x:v>2</x:v>
      </x:c>
      <x:c r="K173" s="19" t="n">
        <x:f>E173*G173</x:f>
        <x:v>60</x:v>
      </x:c>
      <x:c r="L173" s="19" t="n">
        <x:f>K173*I173</x:f>
        <x:v>0</x:v>
      </x:c>
      <x:c r="M173" s="19" t="n">
        <x:f>(E173-F173)*G173*(1-I173)</x:f>
        <x:v>60</x:v>
      </x:c>
      <x:c r="N173" s="19" t="n">
        <x:f>(E173-F173)*H173</x:f>
        <x:v>24</x:v>
      </x:c>
      <x:c r="O173" s="19" t="n">
        <x:f>F173*J173</x:f>
        <x:v>0</x:v>
      </x:c>
      <x:c r="P173" s="19" t="n">
        <x:f>M173-N173-O173</x:f>
        <x:v>36</x:v>
      </x:c>
    </x:row>
    <x:row r="174">
      <x:c r="A174" s="15" t="str">
        <x:v>SIM-0170</x:v>
      </x:c>
      <x:c r="B174" s="15" t="str">
        <x:v>2026-01</x:v>
      </x:c>
      <x:c r="C174" s="15" t="str">
        <x:v>Prendas</x:v>
      </x:c>
      <x:c r="D174" s="15" t="str">
        <x:v>Tienda</x:v>
      </x:c>
      <x:c r="E174" s="15" t="n">
        <x:v>1</x:v>
      </x:c>
      <x:c r="F174" s="15" t="n">
        <x:v>0</x:v>
      </x:c>
      <x:c r="G174" s="19" t="n">
        <x:v>60</x:v>
      </x:c>
      <x:c r="H174" s="19" t="n">
        <x:v>24</x:v>
      </x:c>
      <x:c r="I174" s="17" t="n">
        <x:v>0</x:v>
      </x:c>
      <x:c r="J174" s="19" t="n">
        <x:v>2</x:v>
      </x:c>
      <x:c r="K174" s="19" t="n">
        <x:f>E174*G174</x:f>
        <x:v>60</x:v>
      </x:c>
      <x:c r="L174" s="19" t="n">
        <x:f>K174*I174</x:f>
        <x:v>0</x:v>
      </x:c>
      <x:c r="M174" s="19" t="n">
        <x:f>(E174-F174)*G174*(1-I174)</x:f>
        <x:v>60</x:v>
      </x:c>
      <x:c r="N174" s="19" t="n">
        <x:f>(E174-F174)*H174</x:f>
        <x:v>24</x:v>
      </x:c>
      <x:c r="O174" s="19" t="n">
        <x:f>F174*J174</x:f>
        <x:v>0</x:v>
      </x:c>
      <x:c r="P174" s="19" t="n">
        <x:f>M174-N174-O174</x:f>
        <x:v>36</x:v>
      </x:c>
    </x:row>
    <x:row r="175">
      <x:c r="A175" s="15" t="str">
        <x:v>SIM-0171</x:v>
      </x:c>
      <x:c r="B175" s="15" t="str">
        <x:v>2026-01</x:v>
      </x:c>
      <x:c r="C175" s="15" t="str">
        <x:v>Prendas</x:v>
      </x:c>
      <x:c r="D175" s="15" t="str">
        <x:v>Online</x:v>
      </x:c>
      <x:c r="E175" s="15" t="n">
        <x:v>1</x:v>
      </x:c>
      <x:c r="F175" s="15" t="n">
        <x:v>0</x:v>
      </x:c>
      <x:c r="G175" s="19" t="n">
        <x:v>60</x:v>
      </x:c>
      <x:c r="H175" s="19" t="n">
        <x:v>24</x:v>
      </x:c>
      <x:c r="I175" s="17" t="n">
        <x:v>0.1</x:v>
      </x:c>
      <x:c r="J175" s="19" t="n">
        <x:v>6</x:v>
      </x:c>
      <x:c r="K175" s="19" t="n">
        <x:f>E175*G175</x:f>
        <x:v>60</x:v>
      </x:c>
      <x:c r="L175" s="19" t="n">
        <x:f>K175*I175</x:f>
        <x:v>6</x:v>
      </x:c>
      <x:c r="M175" s="19" t="n">
        <x:f>(E175-F175)*G175*(1-I175)</x:f>
        <x:v>54</x:v>
      </x:c>
      <x:c r="N175" s="19" t="n">
        <x:f>(E175-F175)*H175</x:f>
        <x:v>24</x:v>
      </x:c>
      <x:c r="O175" s="19" t="n">
        <x:f>F175*J175</x:f>
        <x:v>0</x:v>
      </x:c>
      <x:c r="P175" s="19" t="n">
        <x:f>M175-N175-O175</x:f>
        <x:v>30</x:v>
      </x:c>
    </x:row>
    <x:row r="176">
      <x:c r="A176" s="15" t="str">
        <x:v>SIM-0172</x:v>
      </x:c>
      <x:c r="B176" s="15" t="str">
        <x:v>2026-01</x:v>
      </x:c>
      <x:c r="C176" s="15" t="str">
        <x:v>Prendas</x:v>
      </x:c>
      <x:c r="D176" s="15" t="str">
        <x:v>Online</x:v>
      </x:c>
      <x:c r="E176" s="15" t="n">
        <x:v>2</x:v>
      </x:c>
      <x:c r="F176" s="15" t="n">
        <x:v>1</x:v>
      </x:c>
      <x:c r="G176" s="19" t="n">
        <x:v>60</x:v>
      </x:c>
      <x:c r="H176" s="19" t="n">
        <x:v>24</x:v>
      </x:c>
      <x:c r="I176" s="17" t="n">
        <x:v>0.3</x:v>
      </x:c>
      <x:c r="J176" s="19" t="n">
        <x:v>6</x:v>
      </x:c>
      <x:c r="K176" s="19" t="n">
        <x:f>E176*G176</x:f>
        <x:v>120</x:v>
      </x:c>
      <x:c r="L176" s="19" t="n">
        <x:f>K176*I176</x:f>
        <x:v>36</x:v>
      </x:c>
      <x:c r="M176" s="19" t="n">
        <x:f>(E176-F176)*G176*(1-I176)</x:f>
        <x:v>42</x:v>
      </x:c>
      <x:c r="N176" s="19" t="n">
        <x:f>(E176-F176)*H176</x:f>
        <x:v>24</x:v>
      </x:c>
      <x:c r="O176" s="19" t="n">
        <x:f>F176*J176</x:f>
        <x:v>6</x:v>
      </x:c>
      <x:c r="P176" s="19" t="n">
        <x:f>M176-N176-O176</x:f>
        <x:v>12</x:v>
      </x:c>
    </x:row>
    <x:row r="177">
      <x:c r="A177" s="15" t="str">
        <x:v>SIM-0173</x:v>
      </x:c>
      <x:c r="B177" s="15" t="str">
        <x:v>2026-01</x:v>
      </x:c>
      <x:c r="C177" s="15" t="str">
        <x:v>Prendas</x:v>
      </x:c>
      <x:c r="D177" s="15" t="str">
        <x:v>Tienda</x:v>
      </x:c>
      <x:c r="E177" s="15" t="n">
        <x:v>1</x:v>
      </x:c>
      <x:c r="F177" s="15" t="n">
        <x:v>0</x:v>
      </x:c>
      <x:c r="G177" s="19" t="n">
        <x:v>60</x:v>
      </x:c>
      <x:c r="H177" s="19" t="n">
        <x:v>24</x:v>
      </x:c>
      <x:c r="I177" s="17" t="n">
        <x:v>0.1</x:v>
      </x:c>
      <x:c r="J177" s="19" t="n">
        <x:v>2</x:v>
      </x:c>
      <x:c r="K177" s="19" t="n">
        <x:f>E177*G177</x:f>
        <x:v>60</x:v>
      </x:c>
      <x:c r="L177" s="19" t="n">
        <x:f>K177*I177</x:f>
        <x:v>6</x:v>
      </x:c>
      <x:c r="M177" s="19" t="n">
        <x:f>(E177-F177)*G177*(1-I177)</x:f>
        <x:v>54</x:v>
      </x:c>
      <x:c r="N177" s="19" t="n">
        <x:f>(E177-F177)*H177</x:f>
        <x:v>24</x:v>
      </x:c>
      <x:c r="O177" s="19" t="n">
        <x:f>F177*J177</x:f>
        <x:v>0</x:v>
      </x:c>
      <x:c r="P177" s="19" t="n">
        <x:f>M177-N177-O177</x:f>
        <x:v>30</x:v>
      </x:c>
    </x:row>
    <x:row r="178">
      <x:c r="A178" s="15" t="str">
        <x:v>SIM-0174</x:v>
      </x:c>
      <x:c r="B178" s="15" t="str">
        <x:v>2026-01</x:v>
      </x:c>
      <x:c r="C178" s="15" t="str">
        <x:v>Accesorios</x:v>
      </x:c>
      <x:c r="D178" s="15" t="str">
        <x:v>Online</x:v>
      </x:c>
      <x:c r="E178" s="15" t="n">
        <x:v>2</x:v>
      </x:c>
      <x:c r="F178" s="15" t="n">
        <x:v>0</x:v>
      </x:c>
      <x:c r="G178" s="19" t="n">
        <x:v>30</x:v>
      </x:c>
      <x:c r="H178" s="19" t="n">
        <x:v>9</x:v>
      </x:c>
      <x:c r="I178" s="17" t="n">
        <x:v>0</x:v>
      </x:c>
      <x:c r="J178" s="19" t="n">
        <x:v>6</x:v>
      </x:c>
      <x:c r="K178" s="19" t="n">
        <x:f>E178*G178</x:f>
        <x:v>60</x:v>
      </x:c>
      <x:c r="L178" s="19" t="n">
        <x:f>K178*I178</x:f>
        <x:v>0</x:v>
      </x:c>
      <x:c r="M178" s="19" t="n">
        <x:f>(E178-F178)*G178*(1-I178)</x:f>
        <x:v>60</x:v>
      </x:c>
      <x:c r="N178" s="19" t="n">
        <x:f>(E178-F178)*H178</x:f>
        <x:v>18</x:v>
      </x:c>
      <x:c r="O178" s="19" t="n">
        <x:f>F178*J178</x:f>
        <x:v>0</x:v>
      </x:c>
      <x:c r="P178" s="19" t="n">
        <x:f>M178-N178-O178</x:f>
        <x:v>42</x:v>
      </x:c>
    </x:row>
    <x:row r="179">
      <x:c r="A179" s="15" t="str">
        <x:v>SIM-0175</x:v>
      </x:c>
      <x:c r="B179" s="15" t="str">
        <x:v>2026-01</x:v>
      </x:c>
      <x:c r="C179" s="15" t="str">
        <x:v>Prendas</x:v>
      </x:c>
      <x:c r="D179" s="15" t="str">
        <x:v>Online</x:v>
      </x:c>
      <x:c r="E179" s="15" t="n">
        <x:v>1</x:v>
      </x:c>
      <x:c r="F179" s="15" t="n">
        <x:v>1</x:v>
      </x:c>
      <x:c r="G179" s="19" t="n">
        <x:v>60</x:v>
      </x:c>
      <x:c r="H179" s="19" t="n">
        <x:v>24</x:v>
      </x:c>
      <x:c r="I179" s="17" t="n">
        <x:v>0</x:v>
      </x:c>
      <x:c r="J179" s="19" t="n">
        <x:v>6</x:v>
      </x:c>
      <x:c r="K179" s="19" t="n">
        <x:f>E179*G179</x:f>
        <x:v>60</x:v>
      </x:c>
      <x:c r="L179" s="19" t="n">
        <x:f>K179*I179</x:f>
        <x:v>0</x:v>
      </x:c>
      <x:c r="M179" s="19" t="n">
        <x:f>(E179-F179)*G179*(1-I179)</x:f>
        <x:v>0</x:v>
      </x:c>
      <x:c r="N179" s="19" t="n">
        <x:f>(E179-F179)*H179</x:f>
        <x:v>0</x:v>
      </x:c>
      <x:c r="O179" s="19" t="n">
        <x:f>F179*J179</x:f>
        <x:v>6</x:v>
      </x:c>
      <x:c r="P179" s="19" t="n">
        <x:f>M179-N179-O179</x:f>
        <x:v>-6</x:v>
      </x:c>
    </x:row>
    <x:row r="180">
      <x:c r="A180" s="15" t="str">
        <x:v>SIM-0176</x:v>
      </x:c>
      <x:c r="B180" s="15" t="str">
        <x:v>2026-01</x:v>
      </x:c>
      <x:c r="C180" s="15" t="str">
        <x:v>Calzado</x:v>
      </x:c>
      <x:c r="D180" s="15" t="str">
        <x:v>Online</x:v>
      </x:c>
      <x:c r="E180" s="15" t="n">
        <x:v>3</x:v>
      </x:c>
      <x:c r="F180" s="15" t="n">
        <x:v>0</x:v>
      </x:c>
      <x:c r="G180" s="19" t="n">
        <x:v>90</x:v>
      </x:c>
      <x:c r="H180" s="19" t="n">
        <x:v>42</x:v>
      </x:c>
      <x:c r="I180" s="17" t="n">
        <x:v>0</x:v>
      </x:c>
      <x:c r="J180" s="19" t="n">
        <x:v>6</x:v>
      </x:c>
      <x:c r="K180" s="19" t="n">
        <x:f>E180*G180</x:f>
        <x:v>270</x:v>
      </x:c>
      <x:c r="L180" s="19" t="n">
        <x:f>K180*I180</x:f>
        <x:v>0</x:v>
      </x:c>
      <x:c r="M180" s="19" t="n">
        <x:f>(E180-F180)*G180*(1-I180)</x:f>
        <x:v>270</x:v>
      </x:c>
      <x:c r="N180" s="19" t="n">
        <x:f>(E180-F180)*H180</x:f>
        <x:v>126</x:v>
      </x:c>
      <x:c r="O180" s="19" t="n">
        <x:f>F180*J180</x:f>
        <x:v>0</x:v>
      </x:c>
      <x:c r="P180" s="19" t="n">
        <x:f>M180-N180-O180</x:f>
        <x:v>144</x:v>
      </x:c>
    </x:row>
    <x:row r="181">
      <x:c r="A181" s="15" t="str">
        <x:v>SIM-0177</x:v>
      </x:c>
      <x:c r="B181" s="15" t="str">
        <x:v>2026-01</x:v>
      </x:c>
      <x:c r="C181" s="15" t="str">
        <x:v>Prendas</x:v>
      </x:c>
      <x:c r="D181" s="15" t="str">
        <x:v>Tienda</x:v>
      </x:c>
      <x:c r="E181" s="15" t="n">
        <x:v>3</x:v>
      </x:c>
      <x:c r="F181" s="15" t="n">
        <x:v>0</x:v>
      </x:c>
      <x:c r="G181" s="19" t="n">
        <x:v>60</x:v>
      </x:c>
      <x:c r="H181" s="19" t="n">
        <x:v>24</x:v>
      </x:c>
      <x:c r="I181" s="17" t="n">
        <x:v>0</x:v>
      </x:c>
      <x:c r="J181" s="19" t="n">
        <x:v>2</x:v>
      </x:c>
      <x:c r="K181" s="19" t="n">
        <x:f>E181*G181</x:f>
        <x:v>180</x:v>
      </x:c>
      <x:c r="L181" s="19" t="n">
        <x:f>K181*I181</x:f>
        <x:v>0</x:v>
      </x:c>
      <x:c r="M181" s="19" t="n">
        <x:f>(E181-F181)*G181*(1-I181)</x:f>
        <x:v>180</x:v>
      </x:c>
      <x:c r="N181" s="19" t="n">
        <x:f>(E181-F181)*H181</x:f>
        <x:v>72</x:v>
      </x:c>
      <x:c r="O181" s="19" t="n">
        <x:f>F181*J181</x:f>
        <x:v>0</x:v>
      </x:c>
      <x:c r="P181" s="19" t="n">
        <x:f>M181-N181-O181</x:f>
        <x:v>108</x:v>
      </x:c>
    </x:row>
    <x:row r="182">
      <x:c r="A182" s="15" t="str">
        <x:v>SIM-0178</x:v>
      </x:c>
      <x:c r="B182" s="15" t="str">
        <x:v>2026-01</x:v>
      </x:c>
      <x:c r="C182" s="15" t="str">
        <x:v>Accesorios</x:v>
      </x:c>
      <x:c r="D182" s="15" t="str">
        <x:v>Online</x:v>
      </x:c>
      <x:c r="E182" s="15" t="n">
        <x:v>1</x:v>
      </x:c>
      <x:c r="F182" s="15" t="n">
        <x:v>0</x:v>
      </x:c>
      <x:c r="G182" s="19" t="n">
        <x:v>30</x:v>
      </x:c>
      <x:c r="H182" s="19" t="n">
        <x:v>9</x:v>
      </x:c>
      <x:c r="I182" s="17" t="n">
        <x:v>0.1</x:v>
      </x:c>
      <x:c r="J182" s="19" t="n">
        <x:v>6</x:v>
      </x:c>
      <x:c r="K182" s="19" t="n">
        <x:f>E182*G182</x:f>
        <x:v>30</x:v>
      </x:c>
      <x:c r="L182" s="19" t="n">
        <x:f>K182*I182</x:f>
        <x:v>3</x:v>
      </x:c>
      <x:c r="M182" s="19" t="n">
        <x:f>(E182-F182)*G182*(1-I182)</x:f>
        <x:v>27</x:v>
      </x:c>
      <x:c r="N182" s="19" t="n">
        <x:f>(E182-F182)*H182</x:f>
        <x:v>9</x:v>
      </x:c>
      <x:c r="O182" s="19" t="n">
        <x:f>F182*J182</x:f>
        <x:v>0</x:v>
      </x:c>
      <x:c r="P182" s="19" t="n">
        <x:f>M182-N182-O182</x:f>
        <x:v>18</x:v>
      </x:c>
    </x:row>
    <x:row r="183">
      <x:c r="A183" s="15" t="str">
        <x:v>SIM-0179</x:v>
      </x:c>
      <x:c r="B183" s="15" t="str">
        <x:v>2026-01</x:v>
      </x:c>
      <x:c r="C183" s="15" t="str">
        <x:v>Accesorios</x:v>
      </x:c>
      <x:c r="D183" s="15" t="str">
        <x:v>Online</x:v>
      </x:c>
      <x:c r="E183" s="15" t="n">
        <x:v>1</x:v>
      </x:c>
      <x:c r="F183" s="15" t="n">
        <x:v>0</x:v>
      </x:c>
      <x:c r="G183" s="19" t="n">
        <x:v>30</x:v>
      </x:c>
      <x:c r="H183" s="19" t="n">
        <x:v>9</x:v>
      </x:c>
      <x:c r="I183" s="17" t="n">
        <x:v>0</x:v>
      </x:c>
      <x:c r="J183" s="19" t="n">
        <x:v>6</x:v>
      </x:c>
      <x:c r="K183" s="19" t="n">
        <x:f>E183*G183</x:f>
        <x:v>30</x:v>
      </x:c>
      <x:c r="L183" s="19" t="n">
        <x:f>K183*I183</x:f>
        <x:v>0</x:v>
      </x:c>
      <x:c r="M183" s="19" t="n">
        <x:f>(E183-F183)*G183*(1-I183)</x:f>
        <x:v>30</x:v>
      </x:c>
      <x:c r="N183" s="19" t="n">
        <x:f>(E183-F183)*H183</x:f>
        <x:v>9</x:v>
      </x:c>
      <x:c r="O183" s="19" t="n">
        <x:f>F183*J183</x:f>
        <x:v>0</x:v>
      </x:c>
      <x:c r="P183" s="19" t="n">
        <x:f>M183-N183-O183</x:f>
        <x:v>21</x:v>
      </x:c>
    </x:row>
    <x:row r="184">
      <x:c r="A184" s="15" t="str">
        <x:v>SIM-0180</x:v>
      </x:c>
      <x:c r="B184" s="15" t="str">
        <x:v>2026-01</x:v>
      </x:c>
      <x:c r="C184" s="15" t="str">
        <x:v>Accesorios</x:v>
      </x:c>
      <x:c r="D184" s="15" t="str">
        <x:v>Tienda</x:v>
      </x:c>
      <x:c r="E184" s="15" t="n">
        <x:v>1</x:v>
      </x:c>
      <x:c r="F184" s="15" t="n">
        <x:v>0</x:v>
      </x:c>
      <x:c r="G184" s="19" t="n">
        <x:v>30</x:v>
      </x:c>
      <x:c r="H184" s="19" t="n">
        <x:v>9</x:v>
      </x:c>
      <x:c r="I184" s="17" t="n">
        <x:v>0</x:v>
      </x:c>
      <x:c r="J184" s="19" t="n">
        <x:v>2</x:v>
      </x:c>
      <x:c r="K184" s="19" t="n">
        <x:f>E184*G184</x:f>
        <x:v>30</x:v>
      </x:c>
      <x:c r="L184" s="19" t="n">
        <x:f>K184*I184</x:f>
        <x:v>0</x:v>
      </x:c>
      <x:c r="M184" s="19" t="n">
        <x:f>(E184-F184)*G184*(1-I184)</x:f>
        <x:v>30</x:v>
      </x:c>
      <x:c r="N184" s="19" t="n">
        <x:f>(E184-F184)*H184</x:f>
        <x:v>9</x:v>
      </x:c>
      <x:c r="O184" s="19" t="n">
        <x:f>F184*J184</x:f>
        <x:v>0</x:v>
      </x:c>
      <x:c r="P184" s="19" t="n">
        <x:f>M184-N184-O184</x:f>
        <x:v>21</x:v>
      </x:c>
    </x:row>
    <x:row r="185">
      <x:c r="A185" s="15" t="str">
        <x:v>SIM-0181</x:v>
      </x:c>
      <x:c r="B185" s="15" t="str">
        <x:v>2026-01</x:v>
      </x:c>
      <x:c r="C185" s="15" t="str">
        <x:v>Prendas</x:v>
      </x:c>
      <x:c r="D185" s="15" t="str">
        <x:v>Tienda</x:v>
      </x:c>
      <x:c r="E185" s="15" t="n">
        <x:v>1</x:v>
      </x:c>
      <x:c r="F185" s="15" t="n">
        <x:v>0</x:v>
      </x:c>
      <x:c r="G185" s="19" t="n">
        <x:v>60</x:v>
      </x:c>
      <x:c r="H185" s="19" t="n">
        <x:v>24</x:v>
      </x:c>
      <x:c r="I185" s="17" t="n">
        <x:v>0</x:v>
      </x:c>
      <x:c r="J185" s="19" t="n">
        <x:v>2</x:v>
      </x:c>
      <x:c r="K185" s="19" t="n">
        <x:f>E185*G185</x:f>
        <x:v>60</x:v>
      </x:c>
      <x:c r="L185" s="19" t="n">
        <x:f>K185*I185</x:f>
        <x:v>0</x:v>
      </x:c>
      <x:c r="M185" s="19" t="n">
        <x:f>(E185-F185)*G185*(1-I185)</x:f>
        <x:v>60</x:v>
      </x:c>
      <x:c r="N185" s="19" t="n">
        <x:f>(E185-F185)*H185</x:f>
        <x:v>24</x:v>
      </x:c>
      <x:c r="O185" s="19" t="n">
        <x:f>F185*J185</x:f>
        <x:v>0</x:v>
      </x:c>
      <x:c r="P185" s="19" t="n">
        <x:f>M185-N185-O185</x:f>
        <x:v>36</x:v>
      </x:c>
    </x:row>
    <x:row r="186">
      <x:c r="A186" s="15" t="str">
        <x:v>SIM-0182</x:v>
      </x:c>
      <x:c r="B186" s="15" t="str">
        <x:v>2026-01</x:v>
      </x:c>
      <x:c r="C186" s="15" t="str">
        <x:v>Prendas</x:v>
      </x:c>
      <x:c r="D186" s="15" t="str">
        <x:v>Tienda</x:v>
      </x:c>
      <x:c r="E186" s="15" t="n">
        <x:v>2</x:v>
      </x:c>
      <x:c r="F186" s="15" t="n">
        <x:v>0</x:v>
      </x:c>
      <x:c r="G186" s="19" t="n">
        <x:v>60</x:v>
      </x:c>
      <x:c r="H186" s="19" t="n">
        <x:v>24</x:v>
      </x:c>
      <x:c r="I186" s="17" t="n">
        <x:v>0.2</x:v>
      </x:c>
      <x:c r="J186" s="19" t="n">
        <x:v>2</x:v>
      </x:c>
      <x:c r="K186" s="19" t="n">
        <x:f>E186*G186</x:f>
        <x:v>120</x:v>
      </x:c>
      <x:c r="L186" s="19" t="n">
        <x:f>K186*I186</x:f>
        <x:v>24</x:v>
      </x:c>
      <x:c r="M186" s="19" t="n">
        <x:f>(E186-F186)*G186*(1-I186)</x:f>
        <x:v>96</x:v>
      </x:c>
      <x:c r="N186" s="19" t="n">
        <x:f>(E186-F186)*H186</x:f>
        <x:v>48</x:v>
      </x:c>
      <x:c r="O186" s="19" t="n">
        <x:f>F186*J186</x:f>
        <x:v>0</x:v>
      </x:c>
      <x:c r="P186" s="19" t="n">
        <x:f>M186-N186-O186</x:f>
        <x:v>48</x:v>
      </x:c>
    </x:row>
    <x:row r="187">
      <x:c r="A187" s="15" t="str">
        <x:v>SIM-0183</x:v>
      </x:c>
      <x:c r="B187" s="15" t="str">
        <x:v>2026-01</x:v>
      </x:c>
      <x:c r="C187" s="15" t="str">
        <x:v>Prendas</x:v>
      </x:c>
      <x:c r="D187" s="15" t="str">
        <x:v>Online</x:v>
      </x:c>
      <x:c r="E187" s="15" t="n">
        <x:v>1</x:v>
      </x:c>
      <x:c r="F187" s="15" t="n">
        <x:v>1</x:v>
      </x:c>
      <x:c r="G187" s="19" t="n">
        <x:v>60</x:v>
      </x:c>
      <x:c r="H187" s="19" t="n">
        <x:v>24</x:v>
      </x:c>
      <x:c r="I187" s="17" t="n">
        <x:v>0</x:v>
      </x:c>
      <x:c r="J187" s="19" t="n">
        <x:v>6</x:v>
      </x:c>
      <x:c r="K187" s="19" t="n">
        <x:f>E187*G187</x:f>
        <x:v>60</x:v>
      </x:c>
      <x:c r="L187" s="19" t="n">
        <x:f>K187*I187</x:f>
        <x:v>0</x:v>
      </x:c>
      <x:c r="M187" s="19" t="n">
        <x:f>(E187-F187)*G187*(1-I187)</x:f>
        <x:v>0</x:v>
      </x:c>
      <x:c r="N187" s="19" t="n">
        <x:f>(E187-F187)*H187</x:f>
        <x:v>0</x:v>
      </x:c>
      <x:c r="O187" s="19" t="n">
        <x:f>F187*J187</x:f>
        <x:v>6</x:v>
      </x:c>
      <x:c r="P187" s="19" t="n">
        <x:f>M187-N187-O187</x:f>
        <x:v>-6</x:v>
      </x:c>
    </x:row>
    <x:row r="188">
      <x:c r="A188" s="15" t="str">
        <x:v>SIM-0184</x:v>
      </x:c>
      <x:c r="B188" s="15" t="str">
        <x:v>2026-01</x:v>
      </x:c>
      <x:c r="C188" s="15" t="str">
        <x:v>Calzado</x:v>
      </x:c>
      <x:c r="D188" s="15" t="str">
        <x:v>Online</x:v>
      </x:c>
      <x:c r="E188" s="15" t="n">
        <x:v>2</x:v>
      </x:c>
      <x:c r="F188" s="15" t="n">
        <x:v>0</x:v>
      </x:c>
      <x:c r="G188" s="19" t="n">
        <x:v>90</x:v>
      </x:c>
      <x:c r="H188" s="19" t="n">
        <x:v>42</x:v>
      </x:c>
      <x:c r="I188" s="17" t="n">
        <x:v>0</x:v>
      </x:c>
      <x:c r="J188" s="19" t="n">
        <x:v>6</x:v>
      </x:c>
      <x:c r="K188" s="19" t="n">
        <x:f>E188*G188</x:f>
        <x:v>180</x:v>
      </x:c>
      <x:c r="L188" s="19" t="n">
        <x:f>K188*I188</x:f>
        <x:v>0</x:v>
      </x:c>
      <x:c r="M188" s="19" t="n">
        <x:f>(E188-F188)*G188*(1-I188)</x:f>
        <x:v>180</x:v>
      </x:c>
      <x:c r="N188" s="19" t="n">
        <x:f>(E188-F188)*H188</x:f>
        <x:v>84</x:v>
      </x:c>
      <x:c r="O188" s="19" t="n">
        <x:f>F188*J188</x:f>
        <x:v>0</x:v>
      </x:c>
      <x:c r="P188" s="19" t="n">
        <x:f>M188-N188-O188</x:f>
        <x:v>96</x:v>
      </x:c>
    </x:row>
    <x:row r="189">
      <x:c r="A189" s="15" t="str">
        <x:v>SIM-0185</x:v>
      </x:c>
      <x:c r="B189" s="15" t="str">
        <x:v>2026-01</x:v>
      </x:c>
      <x:c r="C189" s="15" t="str">
        <x:v>Calzado</x:v>
      </x:c>
      <x:c r="D189" s="15" t="str">
        <x:v>Online</x:v>
      </x:c>
      <x:c r="E189" s="15" t="n">
        <x:v>1</x:v>
      </x:c>
      <x:c r="F189" s="15" t="n">
        <x:v>0</x:v>
      </x:c>
      <x:c r="G189" s="19" t="n">
        <x:v>90</x:v>
      </x:c>
      <x:c r="H189" s="19" t="n">
        <x:v>42</x:v>
      </x:c>
      <x:c r="I189" s="17" t="n">
        <x:v>0.2</x:v>
      </x:c>
      <x:c r="J189" s="19" t="n">
        <x:v>6</x:v>
      </x:c>
      <x:c r="K189" s="19" t="n">
        <x:f>E189*G189</x:f>
        <x:v>90</x:v>
      </x:c>
      <x:c r="L189" s="19" t="n">
        <x:f>K189*I189</x:f>
        <x:v>18</x:v>
      </x:c>
      <x:c r="M189" s="19" t="n">
        <x:f>(E189-F189)*G189*(1-I189)</x:f>
        <x:v>72</x:v>
      </x:c>
      <x:c r="N189" s="19" t="n">
        <x:f>(E189-F189)*H189</x:f>
        <x:v>42</x:v>
      </x:c>
      <x:c r="O189" s="19" t="n">
        <x:f>F189*J189</x:f>
        <x:v>0</x:v>
      </x:c>
      <x:c r="P189" s="19" t="n">
        <x:f>M189-N189-O189</x:f>
        <x:v>30</x:v>
      </x:c>
    </x:row>
    <x:row r="190">
      <x:c r="A190" s="15" t="str">
        <x:v>SIM-0186</x:v>
      </x:c>
      <x:c r="B190" s="15" t="str">
        <x:v>2026-01</x:v>
      </x:c>
      <x:c r="C190" s="15" t="str">
        <x:v>Accesorios</x:v>
      </x:c>
      <x:c r="D190" s="15" t="str">
        <x:v>Online</x:v>
      </x:c>
      <x:c r="E190" s="15" t="n">
        <x:v>1</x:v>
      </x:c>
      <x:c r="F190" s="15" t="n">
        <x:v>0</x:v>
      </x:c>
      <x:c r="G190" s="19" t="n">
        <x:v>30</x:v>
      </x:c>
      <x:c r="H190" s="19" t="n">
        <x:v>9</x:v>
      </x:c>
      <x:c r="I190" s="17" t="n">
        <x:v>0.3</x:v>
      </x:c>
      <x:c r="J190" s="19" t="n">
        <x:v>6</x:v>
      </x:c>
      <x:c r="K190" s="19" t="n">
        <x:f>E190*G190</x:f>
        <x:v>30</x:v>
      </x:c>
      <x:c r="L190" s="19" t="n">
        <x:f>K190*I190</x:f>
        <x:v>9</x:v>
      </x:c>
      <x:c r="M190" s="19" t="n">
        <x:f>(E190-F190)*G190*(1-I190)</x:f>
        <x:v>21</x:v>
      </x:c>
      <x:c r="N190" s="19" t="n">
        <x:f>(E190-F190)*H190</x:f>
        <x:v>9</x:v>
      </x:c>
      <x:c r="O190" s="19" t="n">
        <x:f>F190*J190</x:f>
        <x:v>0</x:v>
      </x:c>
      <x:c r="P190" s="19" t="n">
        <x:f>M190-N190-O190</x:f>
        <x:v>12</x:v>
      </x:c>
    </x:row>
    <x:row r="191">
      <x:c r="A191" s="15" t="str">
        <x:v>SIM-0187</x:v>
      </x:c>
      <x:c r="B191" s="15" t="str">
        <x:v>2026-01</x:v>
      </x:c>
      <x:c r="C191" s="15" t="str">
        <x:v>Calzado</x:v>
      </x:c>
      <x:c r="D191" s="15" t="str">
        <x:v>Tienda</x:v>
      </x:c>
      <x:c r="E191" s="15" t="n">
        <x:v>1</x:v>
      </x:c>
      <x:c r="F191" s="15" t="n">
        <x:v>0</x:v>
      </x:c>
      <x:c r="G191" s="19" t="n">
        <x:v>90</x:v>
      </x:c>
      <x:c r="H191" s="19" t="n">
        <x:v>42</x:v>
      </x:c>
      <x:c r="I191" s="17" t="n">
        <x:v>0</x:v>
      </x:c>
      <x:c r="J191" s="19" t="n">
        <x:v>2</x:v>
      </x:c>
      <x:c r="K191" s="19" t="n">
        <x:f>E191*G191</x:f>
        <x:v>90</x:v>
      </x:c>
      <x:c r="L191" s="19" t="n">
        <x:f>K191*I191</x:f>
        <x:v>0</x:v>
      </x:c>
      <x:c r="M191" s="19" t="n">
        <x:f>(E191-F191)*G191*(1-I191)</x:f>
        <x:v>90</x:v>
      </x:c>
      <x:c r="N191" s="19" t="n">
        <x:f>(E191-F191)*H191</x:f>
        <x:v>42</x:v>
      </x:c>
      <x:c r="O191" s="19" t="n">
        <x:f>F191*J191</x:f>
        <x:v>0</x:v>
      </x:c>
      <x:c r="P191" s="19" t="n">
        <x:f>M191-N191-O191</x:f>
        <x:v>48</x:v>
      </x:c>
    </x:row>
    <x:row r="192">
      <x:c r="A192" s="15" t="str">
        <x:v>SIM-0188</x:v>
      </x:c>
      <x:c r="B192" s="15" t="str">
        <x:v>2026-01</x:v>
      </x:c>
      <x:c r="C192" s="15" t="str">
        <x:v>Calzado</x:v>
      </x:c>
      <x:c r="D192" s="15" t="str">
        <x:v>Online</x:v>
      </x:c>
      <x:c r="E192" s="15" t="n">
        <x:v>1</x:v>
      </x:c>
      <x:c r="F192" s="15" t="n">
        <x:v>0</x:v>
      </x:c>
      <x:c r="G192" s="19" t="n">
        <x:v>90</x:v>
      </x:c>
      <x:c r="H192" s="19" t="n">
        <x:v>42</x:v>
      </x:c>
      <x:c r="I192" s="17" t="n">
        <x:v>0.2</x:v>
      </x:c>
      <x:c r="J192" s="19" t="n">
        <x:v>6</x:v>
      </x:c>
      <x:c r="K192" s="19" t="n">
        <x:f>E192*G192</x:f>
        <x:v>90</x:v>
      </x:c>
      <x:c r="L192" s="19" t="n">
        <x:f>K192*I192</x:f>
        <x:v>18</x:v>
      </x:c>
      <x:c r="M192" s="19" t="n">
        <x:f>(E192-F192)*G192*(1-I192)</x:f>
        <x:v>72</x:v>
      </x:c>
      <x:c r="N192" s="19" t="n">
        <x:f>(E192-F192)*H192</x:f>
        <x:v>42</x:v>
      </x:c>
      <x:c r="O192" s="19" t="n">
        <x:f>F192*J192</x:f>
        <x:v>0</x:v>
      </x:c>
      <x:c r="P192" s="19" t="n">
        <x:f>M192-N192-O192</x:f>
        <x:v>30</x:v>
      </x:c>
    </x:row>
    <x:row r="193">
      <x:c r="A193" s="15" t="str">
        <x:v>SIM-0189</x:v>
      </x:c>
      <x:c r="B193" s="15" t="str">
        <x:v>2026-01</x:v>
      </x:c>
      <x:c r="C193" s="15" t="str">
        <x:v>Calzado</x:v>
      </x:c>
      <x:c r="D193" s="15" t="str">
        <x:v>Tienda</x:v>
      </x:c>
      <x:c r="E193" s="15" t="n">
        <x:v>2</x:v>
      </x:c>
      <x:c r="F193" s="15" t="n">
        <x:v>0</x:v>
      </x:c>
      <x:c r="G193" s="19" t="n">
        <x:v>90</x:v>
      </x:c>
      <x:c r="H193" s="19" t="n">
        <x:v>42</x:v>
      </x:c>
      <x:c r="I193" s="17" t="n">
        <x:v>0.1</x:v>
      </x:c>
      <x:c r="J193" s="19" t="n">
        <x:v>2</x:v>
      </x:c>
      <x:c r="K193" s="19" t="n">
        <x:f>E193*G193</x:f>
        <x:v>180</x:v>
      </x:c>
      <x:c r="L193" s="19" t="n">
        <x:f>K193*I193</x:f>
        <x:v>18</x:v>
      </x:c>
      <x:c r="M193" s="19" t="n">
        <x:f>(E193-F193)*G193*(1-I193)</x:f>
        <x:v>162</x:v>
      </x:c>
      <x:c r="N193" s="19" t="n">
        <x:f>(E193-F193)*H193</x:f>
        <x:v>84</x:v>
      </x:c>
      <x:c r="O193" s="19" t="n">
        <x:f>F193*J193</x:f>
        <x:v>0</x:v>
      </x:c>
      <x:c r="P193" s="19" t="n">
        <x:f>M193-N193-O193</x:f>
        <x:v>78</x:v>
      </x:c>
    </x:row>
    <x:row r="194">
      <x:c r="A194" s="15" t="str">
        <x:v>SIM-0190</x:v>
      </x:c>
      <x:c r="B194" s="15" t="str">
        <x:v>2026-01</x:v>
      </x:c>
      <x:c r="C194" s="15" t="str">
        <x:v>Calzado</x:v>
      </x:c>
      <x:c r="D194" s="15" t="str">
        <x:v>Tienda</x:v>
      </x:c>
      <x:c r="E194" s="15" t="n">
        <x:v>2</x:v>
      </x:c>
      <x:c r="F194" s="15" t="n">
        <x:v>0</x:v>
      </x:c>
      <x:c r="G194" s="19" t="n">
        <x:v>90</x:v>
      </x:c>
      <x:c r="H194" s="19" t="n">
        <x:v>42</x:v>
      </x:c>
      <x:c r="I194" s="17" t="n">
        <x:v>0.1</x:v>
      </x:c>
      <x:c r="J194" s="19" t="n">
        <x:v>2</x:v>
      </x:c>
      <x:c r="K194" s="19" t="n">
        <x:f>E194*G194</x:f>
        <x:v>180</x:v>
      </x:c>
      <x:c r="L194" s="19" t="n">
        <x:f>K194*I194</x:f>
        <x:v>18</x:v>
      </x:c>
      <x:c r="M194" s="19" t="n">
        <x:f>(E194-F194)*G194*(1-I194)</x:f>
        <x:v>162</x:v>
      </x:c>
      <x:c r="N194" s="19" t="n">
        <x:f>(E194-F194)*H194</x:f>
        <x:v>84</x:v>
      </x:c>
      <x:c r="O194" s="19" t="n">
        <x:f>F194*J194</x:f>
        <x:v>0</x:v>
      </x:c>
      <x:c r="P194" s="19" t="n">
        <x:f>M194-N194-O194</x:f>
        <x:v>78</x:v>
      </x:c>
    </x:row>
    <x:row r="195">
      <x:c r="A195" s="15" t="str">
        <x:v>SIM-0191</x:v>
      </x:c>
      <x:c r="B195" s="15" t="str">
        <x:v>2026-01</x:v>
      </x:c>
      <x:c r="C195" s="15" t="str">
        <x:v>Prendas</x:v>
      </x:c>
      <x:c r="D195" s="15" t="str">
        <x:v>Online</x:v>
      </x:c>
      <x:c r="E195" s="15" t="n">
        <x:v>1</x:v>
      </x:c>
      <x:c r="F195" s="15" t="n">
        <x:v>0</x:v>
      </x:c>
      <x:c r="G195" s="19" t="n">
        <x:v>60</x:v>
      </x:c>
      <x:c r="H195" s="19" t="n">
        <x:v>24</x:v>
      </x:c>
      <x:c r="I195" s="17" t="n">
        <x:v>0.1</x:v>
      </x:c>
      <x:c r="J195" s="19" t="n">
        <x:v>6</x:v>
      </x:c>
      <x:c r="K195" s="19" t="n">
        <x:f>E195*G195</x:f>
        <x:v>60</x:v>
      </x:c>
      <x:c r="L195" s="19" t="n">
        <x:f>K195*I195</x:f>
        <x:v>6</x:v>
      </x:c>
      <x:c r="M195" s="19" t="n">
        <x:f>(E195-F195)*G195*(1-I195)</x:f>
        <x:v>54</x:v>
      </x:c>
      <x:c r="N195" s="19" t="n">
        <x:f>(E195-F195)*H195</x:f>
        <x:v>24</x:v>
      </x:c>
      <x:c r="O195" s="19" t="n">
        <x:f>F195*J195</x:f>
        <x:v>0</x:v>
      </x:c>
      <x:c r="P195" s="19" t="n">
        <x:f>M195-N195-O195</x:f>
        <x:v>30</x:v>
      </x:c>
    </x:row>
    <x:row r="196">
      <x:c r="A196" s="15" t="str">
        <x:v>SIM-0192</x:v>
      </x:c>
      <x:c r="B196" s="15" t="str">
        <x:v>2026-01</x:v>
      </x:c>
      <x:c r="C196" s="15" t="str">
        <x:v>Calzado</x:v>
      </x:c>
      <x:c r="D196" s="15" t="str">
        <x:v>Tienda</x:v>
      </x:c>
      <x:c r="E196" s="15" t="n">
        <x:v>1</x:v>
      </x:c>
      <x:c r="F196" s="15" t="n">
        <x:v>0</x:v>
      </x:c>
      <x:c r="G196" s="19" t="n">
        <x:v>90</x:v>
      </x:c>
      <x:c r="H196" s="19" t="n">
        <x:v>42</x:v>
      </x:c>
      <x:c r="I196" s="17" t="n">
        <x:v>0.2</x:v>
      </x:c>
      <x:c r="J196" s="19" t="n">
        <x:v>2</x:v>
      </x:c>
      <x:c r="K196" s="19" t="n">
        <x:f>E196*G196</x:f>
        <x:v>90</x:v>
      </x:c>
      <x:c r="L196" s="19" t="n">
        <x:f>K196*I196</x:f>
        <x:v>18</x:v>
      </x:c>
      <x:c r="M196" s="19" t="n">
        <x:f>(E196-F196)*G196*(1-I196)</x:f>
        <x:v>72</x:v>
      </x:c>
      <x:c r="N196" s="19" t="n">
        <x:f>(E196-F196)*H196</x:f>
        <x:v>42</x:v>
      </x:c>
      <x:c r="O196" s="19" t="n">
        <x:f>F196*J196</x:f>
        <x:v>0</x:v>
      </x:c>
      <x:c r="P196" s="19" t="n">
        <x:f>M196-N196-O196</x:f>
        <x:v>30</x:v>
      </x:c>
    </x:row>
    <x:row r="197">
      <x:c r="A197" s="15" t="str">
        <x:v>SIM-0193</x:v>
      </x:c>
      <x:c r="B197" s="15" t="str">
        <x:v>2026-01</x:v>
      </x:c>
      <x:c r="C197" s="15" t="str">
        <x:v>Prendas</x:v>
      </x:c>
      <x:c r="D197" s="15" t="str">
        <x:v>Tienda</x:v>
      </x:c>
      <x:c r="E197" s="15" t="n">
        <x:v>1</x:v>
      </x:c>
      <x:c r="F197" s="15" t="n">
        <x:v>0</x:v>
      </x:c>
      <x:c r="G197" s="19" t="n">
        <x:v>60</x:v>
      </x:c>
      <x:c r="H197" s="19" t="n">
        <x:v>24</x:v>
      </x:c>
      <x:c r="I197" s="17" t="n">
        <x:v>0</x:v>
      </x:c>
      <x:c r="J197" s="19" t="n">
        <x:v>2</x:v>
      </x:c>
      <x:c r="K197" s="19" t="n">
        <x:f>E197*G197</x:f>
        <x:v>60</x:v>
      </x:c>
      <x:c r="L197" s="19" t="n">
        <x:f>K197*I197</x:f>
        <x:v>0</x:v>
      </x:c>
      <x:c r="M197" s="19" t="n">
        <x:f>(E197-F197)*G197*(1-I197)</x:f>
        <x:v>60</x:v>
      </x:c>
      <x:c r="N197" s="19" t="n">
        <x:f>(E197-F197)*H197</x:f>
        <x:v>24</x:v>
      </x:c>
      <x:c r="O197" s="19" t="n">
        <x:f>F197*J197</x:f>
        <x:v>0</x:v>
      </x:c>
      <x:c r="P197" s="19" t="n">
        <x:f>M197-N197-O197</x:f>
        <x:v>36</x:v>
      </x:c>
    </x:row>
    <x:row r="198">
      <x:c r="A198" s="15" t="str">
        <x:v>SIM-0194</x:v>
      </x:c>
      <x:c r="B198" s="15" t="str">
        <x:v>2026-01</x:v>
      </x:c>
      <x:c r="C198" s="15" t="str">
        <x:v>Calzado</x:v>
      </x:c>
      <x:c r="D198" s="15" t="str">
        <x:v>Tienda</x:v>
      </x:c>
      <x:c r="E198" s="15" t="n">
        <x:v>1</x:v>
      </x:c>
      <x:c r="F198" s="15" t="n">
        <x:v>0</x:v>
      </x:c>
      <x:c r="G198" s="19" t="n">
        <x:v>90</x:v>
      </x:c>
      <x:c r="H198" s="19" t="n">
        <x:v>42</x:v>
      </x:c>
      <x:c r="I198" s="17" t="n">
        <x:v>0.1</x:v>
      </x:c>
      <x:c r="J198" s="19" t="n">
        <x:v>2</x:v>
      </x:c>
      <x:c r="K198" s="19" t="n">
        <x:f>E198*G198</x:f>
        <x:v>90</x:v>
      </x:c>
      <x:c r="L198" s="19" t="n">
        <x:f>K198*I198</x:f>
        <x:v>9</x:v>
      </x:c>
      <x:c r="M198" s="19" t="n">
        <x:f>(E198-F198)*G198*(1-I198)</x:f>
        <x:v>81</x:v>
      </x:c>
      <x:c r="N198" s="19" t="n">
        <x:f>(E198-F198)*H198</x:f>
        <x:v>42</x:v>
      </x:c>
      <x:c r="O198" s="19" t="n">
        <x:f>F198*J198</x:f>
        <x:v>0</x:v>
      </x:c>
      <x:c r="P198" s="19" t="n">
        <x:f>M198-N198-O198</x:f>
        <x:v>39</x:v>
      </x:c>
    </x:row>
    <x:row r="199">
      <x:c r="A199" s="15" t="str">
        <x:v>SIM-0195</x:v>
      </x:c>
      <x:c r="B199" s="15" t="str">
        <x:v>2026-01</x:v>
      </x:c>
      <x:c r="C199" s="15" t="str">
        <x:v>Prendas</x:v>
      </x:c>
      <x:c r="D199" s="15" t="str">
        <x:v>Online</x:v>
      </x:c>
      <x:c r="E199" s="15" t="n">
        <x:v>1</x:v>
      </x:c>
      <x:c r="F199" s="15" t="n">
        <x:v>0</x:v>
      </x:c>
      <x:c r="G199" s="19" t="n">
        <x:v>60</x:v>
      </x:c>
      <x:c r="H199" s="19" t="n">
        <x:v>24</x:v>
      </x:c>
      <x:c r="I199" s="17" t="n">
        <x:v>0.1</x:v>
      </x:c>
      <x:c r="J199" s="19" t="n">
        <x:v>6</x:v>
      </x:c>
      <x:c r="K199" s="19" t="n">
        <x:f>E199*G199</x:f>
        <x:v>60</x:v>
      </x:c>
      <x:c r="L199" s="19" t="n">
        <x:f>K199*I199</x:f>
        <x:v>6</x:v>
      </x:c>
      <x:c r="M199" s="19" t="n">
        <x:f>(E199-F199)*G199*(1-I199)</x:f>
        <x:v>54</x:v>
      </x:c>
      <x:c r="N199" s="19" t="n">
        <x:f>(E199-F199)*H199</x:f>
        <x:v>24</x:v>
      </x:c>
      <x:c r="O199" s="19" t="n">
        <x:f>F199*J199</x:f>
        <x:v>0</x:v>
      </x:c>
      <x:c r="P199" s="19" t="n">
        <x:f>M199-N199-O199</x:f>
        <x:v>30</x:v>
      </x:c>
    </x:row>
    <x:row r="200">
      <x:c r="A200" s="15" t="str">
        <x:v>SIM-0196</x:v>
      </x:c>
      <x:c r="B200" s="15" t="str">
        <x:v>2026-01</x:v>
      </x:c>
      <x:c r="C200" s="15" t="str">
        <x:v>Prendas</x:v>
      </x:c>
      <x:c r="D200" s="15" t="str">
        <x:v>Online</x:v>
      </x:c>
      <x:c r="E200" s="15" t="n">
        <x:v>1</x:v>
      </x:c>
      <x:c r="F200" s="15" t="n">
        <x:v>0</x:v>
      </x:c>
      <x:c r="G200" s="19" t="n">
        <x:v>60</x:v>
      </x:c>
      <x:c r="H200" s="19" t="n">
        <x:v>24</x:v>
      </x:c>
      <x:c r="I200" s="17" t="n">
        <x:v>0</x:v>
      </x:c>
      <x:c r="J200" s="19" t="n">
        <x:v>6</x:v>
      </x:c>
      <x:c r="K200" s="19" t="n">
        <x:f>E200*G200</x:f>
        <x:v>60</x:v>
      </x:c>
      <x:c r="L200" s="19" t="n">
        <x:f>K200*I200</x:f>
        <x:v>0</x:v>
      </x:c>
      <x:c r="M200" s="19" t="n">
        <x:f>(E200-F200)*G200*(1-I200)</x:f>
        <x:v>60</x:v>
      </x:c>
      <x:c r="N200" s="19" t="n">
        <x:f>(E200-F200)*H200</x:f>
        <x:v>24</x:v>
      </x:c>
      <x:c r="O200" s="19" t="n">
        <x:f>F200*J200</x:f>
        <x:v>0</x:v>
      </x:c>
      <x:c r="P200" s="19" t="n">
        <x:f>M200-N200-O200</x:f>
        <x:v>36</x:v>
      </x:c>
    </x:row>
    <x:row r="201">
      <x:c r="A201" s="15" t="str">
        <x:v>SIM-0197</x:v>
      </x:c>
      <x:c r="B201" s="15" t="str">
        <x:v>2026-01</x:v>
      </x:c>
      <x:c r="C201" s="15" t="str">
        <x:v>Calzado</x:v>
      </x:c>
      <x:c r="D201" s="15" t="str">
        <x:v>Online</x:v>
      </x:c>
      <x:c r="E201" s="15" t="n">
        <x:v>1</x:v>
      </x:c>
      <x:c r="F201" s="15" t="n">
        <x:v>1</x:v>
      </x:c>
      <x:c r="G201" s="19" t="n">
        <x:v>90</x:v>
      </x:c>
      <x:c r="H201" s="19" t="n">
        <x:v>42</x:v>
      </x:c>
      <x:c r="I201" s="17" t="n">
        <x:v>0</x:v>
      </x:c>
      <x:c r="J201" s="19" t="n">
        <x:v>6</x:v>
      </x:c>
      <x:c r="K201" s="19" t="n">
        <x:f>E201*G201</x:f>
        <x:v>90</x:v>
      </x:c>
      <x:c r="L201" s="19" t="n">
        <x:f>K201*I201</x:f>
        <x:v>0</x:v>
      </x:c>
      <x:c r="M201" s="19" t="n">
        <x:f>(E201-F201)*G201*(1-I201)</x:f>
        <x:v>0</x:v>
      </x:c>
      <x:c r="N201" s="19" t="n">
        <x:f>(E201-F201)*H201</x:f>
        <x:v>0</x:v>
      </x:c>
      <x:c r="O201" s="19" t="n">
        <x:f>F201*J201</x:f>
        <x:v>6</x:v>
      </x:c>
      <x:c r="P201" s="19" t="n">
        <x:f>M201-N201-O201</x:f>
        <x:v>-6</x:v>
      </x:c>
    </x:row>
    <x:row r="202">
      <x:c r="A202" s="15" t="str">
        <x:v>SIM-0198</x:v>
      </x:c>
      <x:c r="B202" s="15" t="str">
        <x:v>2026-01</x:v>
      </x:c>
      <x:c r="C202" s="15" t="str">
        <x:v>Prendas</x:v>
      </x:c>
      <x:c r="D202" s="15" t="str">
        <x:v>Tienda</x:v>
      </x:c>
      <x:c r="E202" s="15" t="n">
        <x:v>1</x:v>
      </x:c>
      <x:c r="F202" s="15" t="n">
        <x:v>0</x:v>
      </x:c>
      <x:c r="G202" s="19" t="n">
        <x:v>60</x:v>
      </x:c>
      <x:c r="H202" s="19" t="n">
        <x:v>24</x:v>
      </x:c>
      <x:c r="I202" s="17" t="n">
        <x:v>0</x:v>
      </x:c>
      <x:c r="J202" s="19" t="n">
        <x:v>2</x:v>
      </x:c>
      <x:c r="K202" s="19" t="n">
        <x:f>E202*G202</x:f>
        <x:v>60</x:v>
      </x:c>
      <x:c r="L202" s="19" t="n">
        <x:f>K202*I202</x:f>
        <x:v>0</x:v>
      </x:c>
      <x:c r="M202" s="19" t="n">
        <x:f>(E202-F202)*G202*(1-I202)</x:f>
        <x:v>60</x:v>
      </x:c>
      <x:c r="N202" s="19" t="n">
        <x:f>(E202-F202)*H202</x:f>
        <x:v>24</x:v>
      </x:c>
      <x:c r="O202" s="19" t="n">
        <x:f>F202*J202</x:f>
        <x:v>0</x:v>
      </x:c>
      <x:c r="P202" s="19" t="n">
        <x:f>M202-N202-O202</x:f>
        <x:v>36</x:v>
      </x:c>
    </x:row>
    <x:row r="203">
      <x:c r="A203" s="15" t="str">
        <x:v>SIM-0199</x:v>
      </x:c>
      <x:c r="B203" s="15" t="str">
        <x:v>2026-01</x:v>
      </x:c>
      <x:c r="C203" s="15" t="str">
        <x:v>Accesorios</x:v>
      </x:c>
      <x:c r="D203" s="15" t="str">
        <x:v>Online</x:v>
      </x:c>
      <x:c r="E203" s="15" t="n">
        <x:v>1</x:v>
      </x:c>
      <x:c r="F203" s="15" t="n">
        <x:v>0</x:v>
      </x:c>
      <x:c r="G203" s="19" t="n">
        <x:v>30</x:v>
      </x:c>
      <x:c r="H203" s="19" t="n">
        <x:v>9</x:v>
      </x:c>
      <x:c r="I203" s="17" t="n">
        <x:v>0.3</x:v>
      </x:c>
      <x:c r="J203" s="19" t="n">
        <x:v>6</x:v>
      </x:c>
      <x:c r="K203" s="19" t="n">
        <x:f>E203*G203</x:f>
        <x:v>30</x:v>
      </x:c>
      <x:c r="L203" s="19" t="n">
        <x:f>K203*I203</x:f>
        <x:v>9</x:v>
      </x:c>
      <x:c r="M203" s="19" t="n">
        <x:f>(E203-F203)*G203*(1-I203)</x:f>
        <x:v>21</x:v>
      </x:c>
      <x:c r="N203" s="19" t="n">
        <x:f>(E203-F203)*H203</x:f>
        <x:v>9</x:v>
      </x:c>
      <x:c r="O203" s="19" t="n">
        <x:f>F203*J203</x:f>
        <x:v>0</x:v>
      </x:c>
      <x:c r="P203" s="19" t="n">
        <x:f>M203-N203-O203</x:f>
        <x:v>12</x:v>
      </x:c>
    </x:row>
    <x:row r="204">
      <x:c r="A204" s="15" t="str">
        <x:v>SIM-0200</x:v>
      </x:c>
      <x:c r="B204" s="15" t="str">
        <x:v>2026-01</x:v>
      </x:c>
      <x:c r="C204" s="15" t="str">
        <x:v>Prendas</x:v>
      </x:c>
      <x:c r="D204" s="15" t="str">
        <x:v>Online</x:v>
      </x:c>
      <x:c r="E204" s="15" t="n">
        <x:v>1</x:v>
      </x:c>
      <x:c r="F204" s="15" t="n">
        <x:v>0</x:v>
      </x:c>
      <x:c r="G204" s="19" t="n">
        <x:v>60</x:v>
      </x:c>
      <x:c r="H204" s="19" t="n">
        <x:v>24</x:v>
      </x:c>
      <x:c r="I204" s="17" t="n">
        <x:v>0</x:v>
      </x:c>
      <x:c r="J204" s="19" t="n">
        <x:v>6</x:v>
      </x:c>
      <x:c r="K204" s="19" t="n">
        <x:f>E204*G204</x:f>
        <x:v>60</x:v>
      </x:c>
      <x:c r="L204" s="19" t="n">
        <x:f>K204*I204</x:f>
        <x:v>0</x:v>
      </x:c>
      <x:c r="M204" s="19" t="n">
        <x:f>(E204-F204)*G204*(1-I204)</x:f>
        <x:v>60</x:v>
      </x:c>
      <x:c r="N204" s="19" t="n">
        <x:f>(E204-F204)*H204</x:f>
        <x:v>24</x:v>
      </x:c>
      <x:c r="O204" s="19" t="n">
        <x:f>F204*J204</x:f>
        <x:v>0</x:v>
      </x:c>
      <x:c r="P204" s="19" t="n">
        <x:f>M204-N204-O204</x:f>
        <x:v>36</x:v>
      </x:c>
    </x:row>
    <x:row r="205">
      <x:c r="A205" s="15" t="str">
        <x:v>SIM-0201</x:v>
      </x:c>
      <x:c r="B205" s="15" t="str">
        <x:v>2026-02</x:v>
      </x:c>
      <x:c r="C205" s="15" t="str">
        <x:v>Calzado</x:v>
      </x:c>
      <x:c r="D205" s="15" t="str">
        <x:v>Online</x:v>
      </x:c>
      <x:c r="E205" s="15" t="n">
        <x:v>2</x:v>
      </x:c>
      <x:c r="F205" s="15" t="n">
        <x:v>0</x:v>
      </x:c>
      <x:c r="G205" s="19" t="n">
        <x:v>90</x:v>
      </x:c>
      <x:c r="H205" s="19" t="n">
        <x:v>42</x:v>
      </x:c>
      <x:c r="I205" s="17" t="n">
        <x:v>0</x:v>
      </x:c>
      <x:c r="J205" s="19" t="n">
        <x:v>6</x:v>
      </x:c>
      <x:c r="K205" s="19" t="n">
        <x:f>E205*G205</x:f>
        <x:v>180</x:v>
      </x:c>
      <x:c r="L205" s="19" t="n">
        <x:f>K205*I205</x:f>
        <x:v>0</x:v>
      </x:c>
      <x:c r="M205" s="19" t="n">
        <x:f>(E205-F205)*G205*(1-I205)</x:f>
        <x:v>180</x:v>
      </x:c>
      <x:c r="N205" s="19" t="n">
        <x:f>(E205-F205)*H205</x:f>
        <x:v>84</x:v>
      </x:c>
      <x:c r="O205" s="19" t="n">
        <x:f>F205*J205</x:f>
        <x:v>0</x:v>
      </x:c>
      <x:c r="P205" s="19" t="n">
        <x:f>M205-N205-O205</x:f>
        <x:v>96</x:v>
      </x:c>
    </x:row>
    <x:row r="206">
      <x:c r="A206" s="15" t="str">
        <x:v>SIM-0202</x:v>
      </x:c>
      <x:c r="B206" s="15" t="str">
        <x:v>2026-02</x:v>
      </x:c>
      <x:c r="C206" s="15" t="str">
        <x:v>Calzado</x:v>
      </x:c>
      <x:c r="D206" s="15" t="str">
        <x:v>Online</x:v>
      </x:c>
      <x:c r="E206" s="15" t="n">
        <x:v>1</x:v>
      </x:c>
      <x:c r="F206" s="15" t="n">
        <x:v>0</x:v>
      </x:c>
      <x:c r="G206" s="19" t="n">
        <x:v>90</x:v>
      </x:c>
      <x:c r="H206" s="19" t="n">
        <x:v>42</x:v>
      </x:c>
      <x:c r="I206" s="17" t="n">
        <x:v>0</x:v>
      </x:c>
      <x:c r="J206" s="19" t="n">
        <x:v>6</x:v>
      </x:c>
      <x:c r="K206" s="19" t="n">
        <x:f>E206*G206</x:f>
        <x:v>90</x:v>
      </x:c>
      <x:c r="L206" s="19" t="n">
        <x:f>K206*I206</x:f>
        <x:v>0</x:v>
      </x:c>
      <x:c r="M206" s="19" t="n">
        <x:f>(E206-F206)*G206*(1-I206)</x:f>
        <x:v>90</x:v>
      </x:c>
      <x:c r="N206" s="19" t="n">
        <x:f>(E206-F206)*H206</x:f>
        <x:v>42</x:v>
      </x:c>
      <x:c r="O206" s="19" t="n">
        <x:f>F206*J206</x:f>
        <x:v>0</x:v>
      </x:c>
      <x:c r="P206" s="19" t="n">
        <x:f>M206-N206-O206</x:f>
        <x:v>48</x:v>
      </x:c>
    </x:row>
    <x:row r="207">
      <x:c r="A207" s="15" t="str">
        <x:v>SIM-0203</x:v>
      </x:c>
      <x:c r="B207" s="15" t="str">
        <x:v>2026-02</x:v>
      </x:c>
      <x:c r="C207" s="15" t="str">
        <x:v>Accesorios</x:v>
      </x:c>
      <x:c r="D207" s="15" t="str">
        <x:v>Online</x:v>
      </x:c>
      <x:c r="E207" s="15" t="n">
        <x:v>2</x:v>
      </x:c>
      <x:c r="F207" s="15" t="n">
        <x:v>0</x:v>
      </x:c>
      <x:c r="G207" s="19" t="n">
        <x:v>30</x:v>
      </x:c>
      <x:c r="H207" s="19" t="n">
        <x:v>9</x:v>
      </x:c>
      <x:c r="I207" s="17" t="n">
        <x:v>0.3</x:v>
      </x:c>
      <x:c r="J207" s="19" t="n">
        <x:v>6</x:v>
      </x:c>
      <x:c r="K207" s="19" t="n">
        <x:f>E207*G207</x:f>
        <x:v>60</x:v>
      </x:c>
      <x:c r="L207" s="19" t="n">
        <x:f>K207*I207</x:f>
        <x:v>18</x:v>
      </x:c>
      <x:c r="M207" s="19" t="n">
        <x:f>(E207-F207)*G207*(1-I207)</x:f>
        <x:v>42</x:v>
      </x:c>
      <x:c r="N207" s="19" t="n">
        <x:f>(E207-F207)*H207</x:f>
        <x:v>18</x:v>
      </x:c>
      <x:c r="O207" s="19" t="n">
        <x:f>F207*J207</x:f>
        <x:v>0</x:v>
      </x:c>
      <x:c r="P207" s="19" t="n">
        <x:f>M207-N207-O207</x:f>
        <x:v>24</x:v>
      </x:c>
    </x:row>
    <x:row r="208">
      <x:c r="A208" s="15" t="str">
        <x:v>SIM-0204</x:v>
      </x:c>
      <x:c r="B208" s="15" t="str">
        <x:v>2026-02</x:v>
      </x:c>
      <x:c r="C208" s="15" t="str">
        <x:v>Prendas</x:v>
      </x:c>
      <x:c r="D208" s="15" t="str">
        <x:v>Tienda</x:v>
      </x:c>
      <x:c r="E208" s="15" t="n">
        <x:v>1</x:v>
      </x:c>
      <x:c r="F208" s="15" t="n">
        <x:v>0</x:v>
      </x:c>
      <x:c r="G208" s="19" t="n">
        <x:v>60</x:v>
      </x:c>
      <x:c r="H208" s="19" t="n">
        <x:v>24</x:v>
      </x:c>
      <x:c r="I208" s="17" t="n">
        <x:v>0.2</x:v>
      </x:c>
      <x:c r="J208" s="19" t="n">
        <x:v>2</x:v>
      </x:c>
      <x:c r="K208" s="19" t="n">
        <x:f>E208*G208</x:f>
        <x:v>60</x:v>
      </x:c>
      <x:c r="L208" s="19" t="n">
        <x:f>K208*I208</x:f>
        <x:v>12</x:v>
      </x:c>
      <x:c r="M208" s="19" t="n">
        <x:f>(E208-F208)*G208*(1-I208)</x:f>
        <x:v>48</x:v>
      </x:c>
      <x:c r="N208" s="19" t="n">
        <x:f>(E208-F208)*H208</x:f>
        <x:v>24</x:v>
      </x:c>
      <x:c r="O208" s="19" t="n">
        <x:f>F208*J208</x:f>
        <x:v>0</x:v>
      </x:c>
      <x:c r="P208" s="19" t="n">
        <x:f>M208-N208-O208</x:f>
        <x:v>24</x:v>
      </x:c>
    </x:row>
    <x:row r="209">
      <x:c r="A209" s="15" t="str">
        <x:v>SIM-0205</x:v>
      </x:c>
      <x:c r="B209" s="15" t="str">
        <x:v>2026-02</x:v>
      </x:c>
      <x:c r="C209" s="15" t="str">
        <x:v>Prendas</x:v>
      </x:c>
      <x:c r="D209" s="15" t="str">
        <x:v>Tienda</x:v>
      </x:c>
      <x:c r="E209" s="15" t="n">
        <x:v>1</x:v>
      </x:c>
      <x:c r="F209" s="15" t="n">
        <x:v>0</x:v>
      </x:c>
      <x:c r="G209" s="19" t="n">
        <x:v>60</x:v>
      </x:c>
      <x:c r="H209" s="19" t="n">
        <x:v>24</x:v>
      </x:c>
      <x:c r="I209" s="17" t="n">
        <x:v>0</x:v>
      </x:c>
      <x:c r="J209" s="19" t="n">
        <x:v>2</x:v>
      </x:c>
      <x:c r="K209" s="19" t="n">
        <x:f>E209*G209</x:f>
        <x:v>60</x:v>
      </x:c>
      <x:c r="L209" s="19" t="n">
        <x:f>K209*I209</x:f>
        <x:v>0</x:v>
      </x:c>
      <x:c r="M209" s="19" t="n">
        <x:f>(E209-F209)*G209*(1-I209)</x:f>
        <x:v>60</x:v>
      </x:c>
      <x:c r="N209" s="19" t="n">
        <x:f>(E209-F209)*H209</x:f>
        <x:v>24</x:v>
      </x:c>
      <x:c r="O209" s="19" t="n">
        <x:f>F209*J209</x:f>
        <x:v>0</x:v>
      </x:c>
      <x:c r="P209" s="19" t="n">
        <x:f>M209-N209-O209</x:f>
        <x:v>36</x:v>
      </x:c>
    </x:row>
    <x:row r="210">
      <x:c r="A210" s="15" t="str">
        <x:v>SIM-0206</x:v>
      </x:c>
      <x:c r="B210" s="15" t="str">
        <x:v>2026-02</x:v>
      </x:c>
      <x:c r="C210" s="15" t="str">
        <x:v>Calzado</x:v>
      </x:c>
      <x:c r="D210" s="15" t="str">
        <x:v>Tienda</x:v>
      </x:c>
      <x:c r="E210" s="15" t="n">
        <x:v>2</x:v>
      </x:c>
      <x:c r="F210" s="15" t="n">
        <x:v>0</x:v>
      </x:c>
      <x:c r="G210" s="19" t="n">
        <x:v>90</x:v>
      </x:c>
      <x:c r="H210" s="19" t="n">
        <x:v>42</x:v>
      </x:c>
      <x:c r="I210" s="17" t="n">
        <x:v>0.1</x:v>
      </x:c>
      <x:c r="J210" s="19" t="n">
        <x:v>2</x:v>
      </x:c>
      <x:c r="K210" s="19" t="n">
        <x:f>E210*G210</x:f>
        <x:v>180</x:v>
      </x:c>
      <x:c r="L210" s="19" t="n">
        <x:f>K210*I210</x:f>
        <x:v>18</x:v>
      </x:c>
      <x:c r="M210" s="19" t="n">
        <x:f>(E210-F210)*G210*(1-I210)</x:f>
        <x:v>162</x:v>
      </x:c>
      <x:c r="N210" s="19" t="n">
        <x:f>(E210-F210)*H210</x:f>
        <x:v>84</x:v>
      </x:c>
      <x:c r="O210" s="19" t="n">
        <x:f>F210*J210</x:f>
        <x:v>0</x:v>
      </x:c>
      <x:c r="P210" s="19" t="n">
        <x:f>M210-N210-O210</x:f>
        <x:v>78</x:v>
      </x:c>
    </x:row>
    <x:row r="211">
      <x:c r="A211" s="15" t="str">
        <x:v>SIM-0207</x:v>
      </x:c>
      <x:c r="B211" s="15" t="str">
        <x:v>2026-02</x:v>
      </x:c>
      <x:c r="C211" s="15" t="str">
        <x:v>Calzado</x:v>
      </x:c>
      <x:c r="D211" s="15" t="str">
        <x:v>Online</x:v>
      </x:c>
      <x:c r="E211" s="15" t="n">
        <x:v>2</x:v>
      </x:c>
      <x:c r="F211" s="15" t="n">
        <x:v>1</x:v>
      </x:c>
      <x:c r="G211" s="19" t="n">
        <x:v>90</x:v>
      </x:c>
      <x:c r="H211" s="19" t="n">
        <x:v>42</x:v>
      </x:c>
      <x:c r="I211" s="17" t="n">
        <x:v>0.2</x:v>
      </x:c>
      <x:c r="J211" s="19" t="n">
        <x:v>6</x:v>
      </x:c>
      <x:c r="K211" s="19" t="n">
        <x:f>E211*G211</x:f>
        <x:v>180</x:v>
      </x:c>
      <x:c r="L211" s="19" t="n">
        <x:f>K211*I211</x:f>
        <x:v>36</x:v>
      </x:c>
      <x:c r="M211" s="19" t="n">
        <x:f>(E211-F211)*G211*(1-I211)</x:f>
        <x:v>72</x:v>
      </x:c>
      <x:c r="N211" s="19" t="n">
        <x:f>(E211-F211)*H211</x:f>
        <x:v>42</x:v>
      </x:c>
      <x:c r="O211" s="19" t="n">
        <x:f>F211*J211</x:f>
        <x:v>6</x:v>
      </x:c>
      <x:c r="P211" s="19" t="n">
        <x:f>M211-N211-O211</x:f>
        <x:v>24</x:v>
      </x:c>
    </x:row>
    <x:row r="212">
      <x:c r="A212" s="15" t="str">
        <x:v>SIM-0208</x:v>
      </x:c>
      <x:c r="B212" s="15" t="str">
        <x:v>2026-02</x:v>
      </x:c>
      <x:c r="C212" s="15" t="str">
        <x:v>Prendas</x:v>
      </x:c>
      <x:c r="D212" s="15" t="str">
        <x:v>Tienda</x:v>
      </x:c>
      <x:c r="E212" s="15" t="n">
        <x:v>1</x:v>
      </x:c>
      <x:c r="F212" s="15" t="n">
        <x:v>0</x:v>
      </x:c>
      <x:c r="G212" s="19" t="n">
        <x:v>60</x:v>
      </x:c>
      <x:c r="H212" s="19" t="n">
        <x:v>24</x:v>
      </x:c>
      <x:c r="I212" s="17" t="n">
        <x:v>0.3</x:v>
      </x:c>
      <x:c r="J212" s="19" t="n">
        <x:v>2</x:v>
      </x:c>
      <x:c r="K212" s="19" t="n">
        <x:f>E212*G212</x:f>
        <x:v>60</x:v>
      </x:c>
      <x:c r="L212" s="19" t="n">
        <x:f>K212*I212</x:f>
        <x:v>18</x:v>
      </x:c>
      <x:c r="M212" s="19" t="n">
        <x:f>(E212-F212)*G212*(1-I212)</x:f>
        <x:v>42</x:v>
      </x:c>
      <x:c r="N212" s="19" t="n">
        <x:f>(E212-F212)*H212</x:f>
        <x:v>24</x:v>
      </x:c>
      <x:c r="O212" s="19" t="n">
        <x:f>F212*J212</x:f>
        <x:v>0</x:v>
      </x:c>
      <x:c r="P212" s="19" t="n">
        <x:f>M212-N212-O212</x:f>
        <x:v>18</x:v>
      </x:c>
    </x:row>
    <x:row r="213">
      <x:c r="A213" s="15" t="str">
        <x:v>SIM-0209</x:v>
      </x:c>
      <x:c r="B213" s="15" t="str">
        <x:v>2026-02</x:v>
      </x:c>
      <x:c r="C213" s="15" t="str">
        <x:v>Accesorios</x:v>
      </x:c>
      <x:c r="D213" s="15" t="str">
        <x:v>Tienda</x:v>
      </x:c>
      <x:c r="E213" s="15" t="n">
        <x:v>1</x:v>
      </x:c>
      <x:c r="F213" s="15" t="n">
        <x:v>0</x:v>
      </x:c>
      <x:c r="G213" s="19" t="n">
        <x:v>30</x:v>
      </x:c>
      <x:c r="H213" s="19" t="n">
        <x:v>9</x:v>
      </x:c>
      <x:c r="I213" s="17" t="n">
        <x:v>0.2</x:v>
      </x:c>
      <x:c r="J213" s="19" t="n">
        <x:v>2</x:v>
      </x:c>
      <x:c r="K213" s="19" t="n">
        <x:f>E213*G213</x:f>
        <x:v>30</x:v>
      </x:c>
      <x:c r="L213" s="19" t="n">
        <x:f>K213*I213</x:f>
        <x:v>6</x:v>
      </x:c>
      <x:c r="M213" s="19" t="n">
        <x:f>(E213-F213)*G213*(1-I213)</x:f>
        <x:v>24</x:v>
      </x:c>
      <x:c r="N213" s="19" t="n">
        <x:f>(E213-F213)*H213</x:f>
        <x:v>9</x:v>
      </x:c>
      <x:c r="O213" s="19" t="n">
        <x:f>F213*J213</x:f>
        <x:v>0</x:v>
      </x:c>
      <x:c r="P213" s="19" t="n">
        <x:f>M213-N213-O213</x:f>
        <x:v>15</x:v>
      </x:c>
    </x:row>
    <x:row r="214">
      <x:c r="A214" s="15" t="str">
        <x:v>SIM-0210</x:v>
      </x:c>
      <x:c r="B214" s="15" t="str">
        <x:v>2026-02</x:v>
      </x:c>
      <x:c r="C214" s="15" t="str">
        <x:v>Calzado</x:v>
      </x:c>
      <x:c r="D214" s="15" t="str">
        <x:v>Online</x:v>
      </x:c>
      <x:c r="E214" s="15" t="n">
        <x:v>1</x:v>
      </x:c>
      <x:c r="F214" s="15" t="n">
        <x:v>0</x:v>
      </x:c>
      <x:c r="G214" s="19" t="n">
        <x:v>90</x:v>
      </x:c>
      <x:c r="H214" s="19" t="n">
        <x:v>42</x:v>
      </x:c>
      <x:c r="I214" s="17" t="n">
        <x:v>0</x:v>
      </x:c>
      <x:c r="J214" s="19" t="n">
        <x:v>6</x:v>
      </x:c>
      <x:c r="K214" s="19" t="n">
        <x:f>E214*G214</x:f>
        <x:v>90</x:v>
      </x:c>
      <x:c r="L214" s="19" t="n">
        <x:f>K214*I214</x:f>
        <x:v>0</x:v>
      </x:c>
      <x:c r="M214" s="19" t="n">
        <x:f>(E214-F214)*G214*(1-I214)</x:f>
        <x:v>90</x:v>
      </x:c>
      <x:c r="N214" s="19" t="n">
        <x:f>(E214-F214)*H214</x:f>
        <x:v>42</x:v>
      </x:c>
      <x:c r="O214" s="19" t="n">
        <x:f>F214*J214</x:f>
        <x:v>0</x:v>
      </x:c>
      <x:c r="P214" s="19" t="n">
        <x:f>M214-N214-O214</x:f>
        <x:v>48</x:v>
      </x:c>
    </x:row>
    <x:row r="215">
      <x:c r="A215" s="15" t="str">
        <x:v>SIM-0211</x:v>
      </x:c>
      <x:c r="B215" s="15" t="str">
        <x:v>2026-02</x:v>
      </x:c>
      <x:c r="C215" s="15" t="str">
        <x:v>Calzado</x:v>
      </x:c>
      <x:c r="D215" s="15" t="str">
        <x:v>Tienda</x:v>
      </x:c>
      <x:c r="E215" s="15" t="n">
        <x:v>1</x:v>
      </x:c>
      <x:c r="F215" s="15" t="n">
        <x:v>0</x:v>
      </x:c>
      <x:c r="G215" s="19" t="n">
        <x:v>90</x:v>
      </x:c>
      <x:c r="H215" s="19" t="n">
        <x:v>42</x:v>
      </x:c>
      <x:c r="I215" s="17" t="n">
        <x:v>0.1</x:v>
      </x:c>
      <x:c r="J215" s="19" t="n">
        <x:v>2</x:v>
      </x:c>
      <x:c r="K215" s="19" t="n">
        <x:f>E215*G215</x:f>
        <x:v>90</x:v>
      </x:c>
      <x:c r="L215" s="19" t="n">
        <x:f>K215*I215</x:f>
        <x:v>9</x:v>
      </x:c>
      <x:c r="M215" s="19" t="n">
        <x:f>(E215-F215)*G215*(1-I215)</x:f>
        <x:v>81</x:v>
      </x:c>
      <x:c r="N215" s="19" t="n">
        <x:f>(E215-F215)*H215</x:f>
        <x:v>42</x:v>
      </x:c>
      <x:c r="O215" s="19" t="n">
        <x:f>F215*J215</x:f>
        <x:v>0</x:v>
      </x:c>
      <x:c r="P215" s="19" t="n">
        <x:f>M215-N215-O215</x:f>
        <x:v>39</x:v>
      </x:c>
    </x:row>
    <x:row r="216">
      <x:c r="A216" s="15" t="str">
        <x:v>SIM-0212</x:v>
      </x:c>
      <x:c r="B216" s="15" t="str">
        <x:v>2026-02</x:v>
      </x:c>
      <x:c r="C216" s="15" t="str">
        <x:v>Prendas</x:v>
      </x:c>
      <x:c r="D216" s="15" t="str">
        <x:v>Online</x:v>
      </x:c>
      <x:c r="E216" s="15" t="n">
        <x:v>3</x:v>
      </x:c>
      <x:c r="F216" s="15" t="n">
        <x:v>0</x:v>
      </x:c>
      <x:c r="G216" s="19" t="n">
        <x:v>60</x:v>
      </x:c>
      <x:c r="H216" s="19" t="n">
        <x:v>24</x:v>
      </x:c>
      <x:c r="I216" s="17" t="n">
        <x:v>0.1</x:v>
      </x:c>
      <x:c r="J216" s="19" t="n">
        <x:v>6</x:v>
      </x:c>
      <x:c r="K216" s="19" t="n">
        <x:f>E216*G216</x:f>
        <x:v>180</x:v>
      </x:c>
      <x:c r="L216" s="19" t="n">
        <x:f>K216*I216</x:f>
        <x:v>18</x:v>
      </x:c>
      <x:c r="M216" s="19" t="n">
        <x:f>(E216-F216)*G216*(1-I216)</x:f>
        <x:v>162</x:v>
      </x:c>
      <x:c r="N216" s="19" t="n">
        <x:f>(E216-F216)*H216</x:f>
        <x:v>72</x:v>
      </x:c>
      <x:c r="O216" s="19" t="n">
        <x:f>F216*J216</x:f>
        <x:v>0</x:v>
      </x:c>
      <x:c r="P216" s="19" t="n">
        <x:f>M216-N216-O216</x:f>
        <x:v>90</x:v>
      </x:c>
    </x:row>
    <x:row r="217">
      <x:c r="A217" s="15" t="str">
        <x:v>SIM-0213</x:v>
      </x:c>
      <x:c r="B217" s="15" t="str">
        <x:v>2026-02</x:v>
      </x:c>
      <x:c r="C217" s="15" t="str">
        <x:v>Prendas</x:v>
      </x:c>
      <x:c r="D217" s="15" t="str">
        <x:v>Online</x:v>
      </x:c>
      <x:c r="E217" s="15" t="n">
        <x:v>1</x:v>
      </x:c>
      <x:c r="F217" s="15" t="n">
        <x:v>0</x:v>
      </x:c>
      <x:c r="G217" s="19" t="n">
        <x:v>60</x:v>
      </x:c>
      <x:c r="H217" s="19" t="n">
        <x:v>24</x:v>
      </x:c>
      <x:c r="I217" s="17" t="n">
        <x:v>0</x:v>
      </x:c>
      <x:c r="J217" s="19" t="n">
        <x:v>6</x:v>
      </x:c>
      <x:c r="K217" s="19" t="n">
        <x:f>E217*G217</x:f>
        <x:v>60</x:v>
      </x:c>
      <x:c r="L217" s="19" t="n">
        <x:f>K217*I217</x:f>
        <x:v>0</x:v>
      </x:c>
      <x:c r="M217" s="19" t="n">
        <x:f>(E217-F217)*G217*(1-I217)</x:f>
        <x:v>60</x:v>
      </x:c>
      <x:c r="N217" s="19" t="n">
        <x:f>(E217-F217)*H217</x:f>
        <x:v>24</x:v>
      </x:c>
      <x:c r="O217" s="19" t="n">
        <x:f>F217*J217</x:f>
        <x:v>0</x:v>
      </x:c>
      <x:c r="P217" s="19" t="n">
        <x:f>M217-N217-O217</x:f>
        <x:v>36</x:v>
      </x:c>
    </x:row>
    <x:row r="218">
      <x:c r="A218" s="15" t="str">
        <x:v>SIM-0214</x:v>
      </x:c>
      <x:c r="B218" s="15" t="str">
        <x:v>2026-02</x:v>
      </x:c>
      <x:c r="C218" s="15" t="str">
        <x:v>Prendas</x:v>
      </x:c>
      <x:c r="D218" s="15" t="str">
        <x:v>Tienda</x:v>
      </x:c>
      <x:c r="E218" s="15" t="n">
        <x:v>1</x:v>
      </x:c>
      <x:c r="F218" s="15" t="n">
        <x:v>0</x:v>
      </x:c>
      <x:c r="G218" s="19" t="n">
        <x:v>60</x:v>
      </x:c>
      <x:c r="H218" s="19" t="n">
        <x:v>24</x:v>
      </x:c>
      <x:c r="I218" s="17" t="n">
        <x:v>0</x:v>
      </x:c>
      <x:c r="J218" s="19" t="n">
        <x:v>2</x:v>
      </x:c>
      <x:c r="K218" s="19" t="n">
        <x:f>E218*G218</x:f>
        <x:v>60</x:v>
      </x:c>
      <x:c r="L218" s="19" t="n">
        <x:f>K218*I218</x:f>
        <x:v>0</x:v>
      </x:c>
      <x:c r="M218" s="19" t="n">
        <x:f>(E218-F218)*G218*(1-I218)</x:f>
        <x:v>60</x:v>
      </x:c>
      <x:c r="N218" s="19" t="n">
        <x:f>(E218-F218)*H218</x:f>
        <x:v>24</x:v>
      </x:c>
      <x:c r="O218" s="19" t="n">
        <x:f>F218*J218</x:f>
        <x:v>0</x:v>
      </x:c>
      <x:c r="P218" s="19" t="n">
        <x:f>M218-N218-O218</x:f>
        <x:v>36</x:v>
      </x:c>
    </x:row>
    <x:row r="219">
      <x:c r="A219" s="15" t="str">
        <x:v>SIM-0215</x:v>
      </x:c>
      <x:c r="B219" s="15" t="str">
        <x:v>2026-02</x:v>
      </x:c>
      <x:c r="C219" s="15" t="str">
        <x:v>Calzado</x:v>
      </x:c>
      <x:c r="D219" s="15" t="str">
        <x:v>Tienda</x:v>
      </x:c>
      <x:c r="E219" s="15" t="n">
        <x:v>1</x:v>
      </x:c>
      <x:c r="F219" s="15" t="n">
        <x:v>0</x:v>
      </x:c>
      <x:c r="G219" s="19" t="n">
        <x:v>90</x:v>
      </x:c>
      <x:c r="H219" s="19" t="n">
        <x:v>42</x:v>
      </x:c>
      <x:c r="I219" s="17" t="n">
        <x:v>0.1</x:v>
      </x:c>
      <x:c r="J219" s="19" t="n">
        <x:v>2</x:v>
      </x:c>
      <x:c r="K219" s="19" t="n">
        <x:f>E219*G219</x:f>
        <x:v>90</x:v>
      </x:c>
      <x:c r="L219" s="19" t="n">
        <x:f>K219*I219</x:f>
        <x:v>9</x:v>
      </x:c>
      <x:c r="M219" s="19" t="n">
        <x:f>(E219-F219)*G219*(1-I219)</x:f>
        <x:v>81</x:v>
      </x:c>
      <x:c r="N219" s="19" t="n">
        <x:f>(E219-F219)*H219</x:f>
        <x:v>42</x:v>
      </x:c>
      <x:c r="O219" s="19" t="n">
        <x:f>F219*J219</x:f>
        <x:v>0</x:v>
      </x:c>
      <x:c r="P219" s="19" t="n">
        <x:f>M219-N219-O219</x:f>
        <x:v>39</x:v>
      </x:c>
    </x:row>
    <x:row r="220">
      <x:c r="A220" s="15" t="str">
        <x:v>SIM-0216</x:v>
      </x:c>
      <x:c r="B220" s="15" t="str">
        <x:v>2026-02</x:v>
      </x:c>
      <x:c r="C220" s="15" t="str">
        <x:v>Calzado</x:v>
      </x:c>
      <x:c r="D220" s="15" t="str">
        <x:v>Online</x:v>
      </x:c>
      <x:c r="E220" s="15" t="n">
        <x:v>1</x:v>
      </x:c>
      <x:c r="F220" s="15" t="n">
        <x:v>1</x:v>
      </x:c>
      <x:c r="G220" s="19" t="n">
        <x:v>90</x:v>
      </x:c>
      <x:c r="H220" s="19" t="n">
        <x:v>42</x:v>
      </x:c>
      <x:c r="I220" s="17" t="n">
        <x:v>0</x:v>
      </x:c>
      <x:c r="J220" s="19" t="n">
        <x:v>6</x:v>
      </x:c>
      <x:c r="K220" s="19" t="n">
        <x:f>E220*G220</x:f>
        <x:v>90</x:v>
      </x:c>
      <x:c r="L220" s="19" t="n">
        <x:f>K220*I220</x:f>
        <x:v>0</x:v>
      </x:c>
      <x:c r="M220" s="19" t="n">
        <x:f>(E220-F220)*G220*(1-I220)</x:f>
        <x:v>0</x:v>
      </x:c>
      <x:c r="N220" s="19" t="n">
        <x:f>(E220-F220)*H220</x:f>
        <x:v>0</x:v>
      </x:c>
      <x:c r="O220" s="19" t="n">
        <x:f>F220*J220</x:f>
        <x:v>6</x:v>
      </x:c>
      <x:c r="P220" s="19" t="n">
        <x:f>M220-N220-O220</x:f>
        <x:v>-6</x:v>
      </x:c>
    </x:row>
    <x:row r="221">
      <x:c r="A221" s="15" t="str">
        <x:v>SIM-0217</x:v>
      </x:c>
      <x:c r="B221" s="15" t="str">
        <x:v>2026-02</x:v>
      </x:c>
      <x:c r="C221" s="15" t="str">
        <x:v>Calzado</x:v>
      </x:c>
      <x:c r="D221" s="15" t="str">
        <x:v>Online</x:v>
      </x:c>
      <x:c r="E221" s="15" t="n">
        <x:v>1</x:v>
      </x:c>
      <x:c r="F221" s="15" t="n">
        <x:v>0</x:v>
      </x:c>
      <x:c r="G221" s="19" t="n">
        <x:v>90</x:v>
      </x:c>
      <x:c r="H221" s="19" t="n">
        <x:v>42</x:v>
      </x:c>
      <x:c r="I221" s="17" t="n">
        <x:v>0</x:v>
      </x:c>
      <x:c r="J221" s="19" t="n">
        <x:v>6</x:v>
      </x:c>
      <x:c r="K221" s="19" t="n">
        <x:f>E221*G221</x:f>
        <x:v>90</x:v>
      </x:c>
      <x:c r="L221" s="19" t="n">
        <x:f>K221*I221</x:f>
        <x:v>0</x:v>
      </x:c>
      <x:c r="M221" s="19" t="n">
        <x:f>(E221-F221)*G221*(1-I221)</x:f>
        <x:v>90</x:v>
      </x:c>
      <x:c r="N221" s="19" t="n">
        <x:f>(E221-F221)*H221</x:f>
        <x:v>42</x:v>
      </x:c>
      <x:c r="O221" s="19" t="n">
        <x:f>F221*J221</x:f>
        <x:v>0</x:v>
      </x:c>
      <x:c r="P221" s="19" t="n">
        <x:f>M221-N221-O221</x:f>
        <x:v>48</x:v>
      </x:c>
    </x:row>
    <x:row r="222">
      <x:c r="A222" s="15" t="str">
        <x:v>SIM-0218</x:v>
      </x:c>
      <x:c r="B222" s="15" t="str">
        <x:v>2026-02</x:v>
      </x:c>
      <x:c r="C222" s="15" t="str">
        <x:v>Calzado</x:v>
      </x:c>
      <x:c r="D222" s="15" t="str">
        <x:v>Tienda</x:v>
      </x:c>
      <x:c r="E222" s="15" t="n">
        <x:v>1</x:v>
      </x:c>
      <x:c r="F222" s="15" t="n">
        <x:v>0</x:v>
      </x:c>
      <x:c r="G222" s="19" t="n">
        <x:v>90</x:v>
      </x:c>
      <x:c r="H222" s="19" t="n">
        <x:v>42</x:v>
      </x:c>
      <x:c r="I222" s="17" t="n">
        <x:v>0.3</x:v>
      </x:c>
      <x:c r="J222" s="19" t="n">
        <x:v>2</x:v>
      </x:c>
      <x:c r="K222" s="19" t="n">
        <x:f>E222*G222</x:f>
        <x:v>90</x:v>
      </x:c>
      <x:c r="L222" s="19" t="n">
        <x:f>K222*I222</x:f>
        <x:v>27</x:v>
      </x:c>
      <x:c r="M222" s="19" t="n">
        <x:f>(E222-F222)*G222*(1-I222)</x:f>
        <x:v>62.99999999999999</x:v>
      </x:c>
      <x:c r="N222" s="19" t="n">
        <x:f>(E222-F222)*H222</x:f>
        <x:v>42</x:v>
      </x:c>
      <x:c r="O222" s="19" t="n">
        <x:f>F222*J222</x:f>
        <x:v>0</x:v>
      </x:c>
      <x:c r="P222" s="19" t="n">
        <x:f>M222-N222-O222</x:f>
        <x:v>20.999999999999993</x:v>
      </x:c>
    </x:row>
    <x:row r="223">
      <x:c r="A223" s="15" t="str">
        <x:v>SIM-0219</x:v>
      </x:c>
      <x:c r="B223" s="15" t="str">
        <x:v>2026-02</x:v>
      </x:c>
      <x:c r="C223" s="15" t="str">
        <x:v>Calzado</x:v>
      </x:c>
      <x:c r="D223" s="15" t="str">
        <x:v>Tienda</x:v>
      </x:c>
      <x:c r="E223" s="15" t="n">
        <x:v>1</x:v>
      </x:c>
      <x:c r="F223" s="15" t="n">
        <x:v>0</x:v>
      </x:c>
      <x:c r="G223" s="19" t="n">
        <x:v>90</x:v>
      </x:c>
      <x:c r="H223" s="19" t="n">
        <x:v>42</x:v>
      </x:c>
      <x:c r="I223" s="17" t="n">
        <x:v>0</x:v>
      </x:c>
      <x:c r="J223" s="19" t="n">
        <x:v>2</x:v>
      </x:c>
      <x:c r="K223" s="19" t="n">
        <x:f>E223*G223</x:f>
        <x:v>90</x:v>
      </x:c>
      <x:c r="L223" s="19" t="n">
        <x:f>K223*I223</x:f>
        <x:v>0</x:v>
      </x:c>
      <x:c r="M223" s="19" t="n">
        <x:f>(E223-F223)*G223*(1-I223)</x:f>
        <x:v>90</x:v>
      </x:c>
      <x:c r="N223" s="19" t="n">
        <x:f>(E223-F223)*H223</x:f>
        <x:v>42</x:v>
      </x:c>
      <x:c r="O223" s="19" t="n">
        <x:f>F223*J223</x:f>
        <x:v>0</x:v>
      </x:c>
      <x:c r="P223" s="19" t="n">
        <x:f>M223-N223-O223</x:f>
        <x:v>48</x:v>
      </x:c>
    </x:row>
    <x:row r="224">
      <x:c r="A224" s="15" t="str">
        <x:v>SIM-0220</x:v>
      </x:c>
      <x:c r="B224" s="15" t="str">
        <x:v>2026-02</x:v>
      </x:c>
      <x:c r="C224" s="15" t="str">
        <x:v>Calzado</x:v>
      </x:c>
      <x:c r="D224" s="15" t="str">
        <x:v>Online</x:v>
      </x:c>
      <x:c r="E224" s="15" t="n">
        <x:v>1</x:v>
      </x:c>
      <x:c r="F224" s="15" t="n">
        <x:v>0</x:v>
      </x:c>
      <x:c r="G224" s="19" t="n">
        <x:v>90</x:v>
      </x:c>
      <x:c r="H224" s="19" t="n">
        <x:v>42</x:v>
      </x:c>
      <x:c r="I224" s="17" t="n">
        <x:v>0</x:v>
      </x:c>
      <x:c r="J224" s="19" t="n">
        <x:v>6</x:v>
      </x:c>
      <x:c r="K224" s="19" t="n">
        <x:f>E224*G224</x:f>
        <x:v>90</x:v>
      </x:c>
      <x:c r="L224" s="19" t="n">
        <x:f>K224*I224</x:f>
        <x:v>0</x:v>
      </x:c>
      <x:c r="M224" s="19" t="n">
        <x:f>(E224-F224)*G224*(1-I224)</x:f>
        <x:v>90</x:v>
      </x:c>
      <x:c r="N224" s="19" t="n">
        <x:f>(E224-F224)*H224</x:f>
        <x:v>42</x:v>
      </x:c>
      <x:c r="O224" s="19" t="n">
        <x:f>F224*J224</x:f>
        <x:v>0</x:v>
      </x:c>
      <x:c r="P224" s="19" t="n">
        <x:f>M224-N224-O224</x:f>
        <x:v>48</x:v>
      </x:c>
    </x:row>
    <x:row r="225">
      <x:c r="A225" s="15" t="str">
        <x:v>SIM-0221</x:v>
      </x:c>
      <x:c r="B225" s="15" t="str">
        <x:v>2026-02</x:v>
      </x:c>
      <x:c r="C225" s="15" t="str">
        <x:v>Calzado</x:v>
      </x:c>
      <x:c r="D225" s="15" t="str">
        <x:v>Online</x:v>
      </x:c>
      <x:c r="E225" s="15" t="n">
        <x:v>1</x:v>
      </x:c>
      <x:c r="F225" s="15" t="n">
        <x:v>1</x:v>
      </x:c>
      <x:c r="G225" s="19" t="n">
        <x:v>90</x:v>
      </x:c>
      <x:c r="H225" s="19" t="n">
        <x:v>42</x:v>
      </x:c>
      <x:c r="I225" s="17" t="n">
        <x:v>0.2</x:v>
      </x:c>
      <x:c r="J225" s="19" t="n">
        <x:v>6</x:v>
      </x:c>
      <x:c r="K225" s="19" t="n">
        <x:f>E225*G225</x:f>
        <x:v>90</x:v>
      </x:c>
      <x:c r="L225" s="19" t="n">
        <x:f>K225*I225</x:f>
        <x:v>18</x:v>
      </x:c>
      <x:c r="M225" s="19" t="n">
        <x:f>(E225-F225)*G225*(1-I225)</x:f>
        <x:v>0</x:v>
      </x:c>
      <x:c r="N225" s="19" t="n">
        <x:f>(E225-F225)*H225</x:f>
        <x:v>0</x:v>
      </x:c>
      <x:c r="O225" s="19" t="n">
        <x:f>F225*J225</x:f>
        <x:v>6</x:v>
      </x:c>
      <x:c r="P225" s="19" t="n">
        <x:f>M225-N225-O225</x:f>
        <x:v>-6</x:v>
      </x:c>
    </x:row>
    <x:row r="226">
      <x:c r="A226" s="15" t="str">
        <x:v>SIM-0222</x:v>
      </x:c>
      <x:c r="B226" s="15" t="str">
        <x:v>2026-02</x:v>
      </x:c>
      <x:c r="C226" s="15" t="str">
        <x:v>Prendas</x:v>
      </x:c>
      <x:c r="D226" s="15" t="str">
        <x:v>Online</x:v>
      </x:c>
      <x:c r="E226" s="15" t="n">
        <x:v>2</x:v>
      </x:c>
      <x:c r="F226" s="15" t="n">
        <x:v>0</x:v>
      </x:c>
      <x:c r="G226" s="19" t="n">
        <x:v>60</x:v>
      </x:c>
      <x:c r="H226" s="19" t="n">
        <x:v>24</x:v>
      </x:c>
      <x:c r="I226" s="17" t="n">
        <x:v>0</x:v>
      </x:c>
      <x:c r="J226" s="19" t="n">
        <x:v>6</x:v>
      </x:c>
      <x:c r="K226" s="19" t="n">
        <x:f>E226*G226</x:f>
        <x:v>120</x:v>
      </x:c>
      <x:c r="L226" s="19" t="n">
        <x:f>K226*I226</x:f>
        <x:v>0</x:v>
      </x:c>
      <x:c r="M226" s="19" t="n">
        <x:f>(E226-F226)*G226*(1-I226)</x:f>
        <x:v>120</x:v>
      </x:c>
      <x:c r="N226" s="19" t="n">
        <x:f>(E226-F226)*H226</x:f>
        <x:v>48</x:v>
      </x:c>
      <x:c r="O226" s="19" t="n">
        <x:f>F226*J226</x:f>
        <x:v>0</x:v>
      </x:c>
      <x:c r="P226" s="19" t="n">
        <x:f>M226-N226-O226</x:f>
        <x:v>72</x:v>
      </x:c>
    </x:row>
    <x:row r="227">
      <x:c r="A227" s="15" t="str">
        <x:v>SIM-0223</x:v>
      </x:c>
      <x:c r="B227" s="15" t="str">
        <x:v>2026-02</x:v>
      </x:c>
      <x:c r="C227" s="15" t="str">
        <x:v>Calzado</x:v>
      </x:c>
      <x:c r="D227" s="15" t="str">
        <x:v>Tienda</x:v>
      </x:c>
      <x:c r="E227" s="15" t="n">
        <x:v>1</x:v>
      </x:c>
      <x:c r="F227" s="15" t="n">
        <x:v>1</x:v>
      </x:c>
      <x:c r="G227" s="19" t="n">
        <x:v>90</x:v>
      </x:c>
      <x:c r="H227" s="19" t="n">
        <x:v>42</x:v>
      </x:c>
      <x:c r="I227" s="17" t="n">
        <x:v>0.1</x:v>
      </x:c>
      <x:c r="J227" s="19" t="n">
        <x:v>2</x:v>
      </x:c>
      <x:c r="K227" s="19" t="n">
        <x:f>E227*G227</x:f>
        <x:v>90</x:v>
      </x:c>
      <x:c r="L227" s="19" t="n">
        <x:f>K227*I227</x:f>
        <x:v>9</x:v>
      </x:c>
      <x:c r="M227" s="19" t="n">
        <x:f>(E227-F227)*G227*(1-I227)</x:f>
        <x:v>0</x:v>
      </x:c>
      <x:c r="N227" s="19" t="n">
        <x:f>(E227-F227)*H227</x:f>
        <x:v>0</x:v>
      </x:c>
      <x:c r="O227" s="19" t="n">
        <x:f>F227*J227</x:f>
        <x:v>2</x:v>
      </x:c>
      <x:c r="P227" s="19" t="n">
        <x:f>M227-N227-O227</x:f>
        <x:v>-2</x:v>
      </x:c>
    </x:row>
    <x:row r="228">
      <x:c r="A228" s="15" t="str">
        <x:v>SIM-0224</x:v>
      </x:c>
      <x:c r="B228" s="15" t="str">
        <x:v>2026-02</x:v>
      </x:c>
      <x:c r="C228" s="15" t="str">
        <x:v>Prendas</x:v>
      </x:c>
      <x:c r="D228" s="15" t="str">
        <x:v>Tienda</x:v>
      </x:c>
      <x:c r="E228" s="15" t="n">
        <x:v>1</x:v>
      </x:c>
      <x:c r="F228" s="15" t="n">
        <x:v>0</x:v>
      </x:c>
      <x:c r="G228" s="19" t="n">
        <x:v>60</x:v>
      </x:c>
      <x:c r="H228" s="19" t="n">
        <x:v>24</x:v>
      </x:c>
      <x:c r="I228" s="17" t="n">
        <x:v>0.3</x:v>
      </x:c>
      <x:c r="J228" s="19" t="n">
        <x:v>2</x:v>
      </x:c>
      <x:c r="K228" s="19" t="n">
        <x:f>E228*G228</x:f>
        <x:v>60</x:v>
      </x:c>
      <x:c r="L228" s="19" t="n">
        <x:f>K228*I228</x:f>
        <x:v>18</x:v>
      </x:c>
      <x:c r="M228" s="19" t="n">
        <x:f>(E228-F228)*G228*(1-I228)</x:f>
        <x:v>42</x:v>
      </x:c>
      <x:c r="N228" s="19" t="n">
        <x:f>(E228-F228)*H228</x:f>
        <x:v>24</x:v>
      </x:c>
      <x:c r="O228" s="19" t="n">
        <x:f>F228*J228</x:f>
        <x:v>0</x:v>
      </x:c>
      <x:c r="P228" s="19" t="n">
        <x:f>M228-N228-O228</x:f>
        <x:v>18</x:v>
      </x:c>
    </x:row>
    <x:row r="229">
      <x:c r="A229" s="15" t="str">
        <x:v>SIM-0225</x:v>
      </x:c>
      <x:c r="B229" s="15" t="str">
        <x:v>2026-02</x:v>
      </x:c>
      <x:c r="C229" s="15" t="str">
        <x:v>Accesorios</x:v>
      </x:c>
      <x:c r="D229" s="15" t="str">
        <x:v>Online</x:v>
      </x:c>
      <x:c r="E229" s="15" t="n">
        <x:v>1</x:v>
      </x:c>
      <x:c r="F229" s="15" t="n">
        <x:v>0</x:v>
      </x:c>
      <x:c r="G229" s="19" t="n">
        <x:v>30</x:v>
      </x:c>
      <x:c r="H229" s="19" t="n">
        <x:v>9</x:v>
      </x:c>
      <x:c r="I229" s="17" t="n">
        <x:v>0</x:v>
      </x:c>
      <x:c r="J229" s="19" t="n">
        <x:v>6</x:v>
      </x:c>
      <x:c r="K229" s="19" t="n">
        <x:f>E229*G229</x:f>
        <x:v>30</x:v>
      </x:c>
      <x:c r="L229" s="19" t="n">
        <x:f>K229*I229</x:f>
        <x:v>0</x:v>
      </x:c>
      <x:c r="M229" s="19" t="n">
        <x:f>(E229-F229)*G229*(1-I229)</x:f>
        <x:v>30</x:v>
      </x:c>
      <x:c r="N229" s="19" t="n">
        <x:f>(E229-F229)*H229</x:f>
        <x:v>9</x:v>
      </x:c>
      <x:c r="O229" s="19" t="n">
        <x:f>F229*J229</x:f>
        <x:v>0</x:v>
      </x:c>
      <x:c r="P229" s="19" t="n">
        <x:f>M229-N229-O229</x:f>
        <x:v>21</x:v>
      </x:c>
    </x:row>
    <x:row r="230">
      <x:c r="A230" s="15" t="str">
        <x:v>SIM-0226</x:v>
      </x:c>
      <x:c r="B230" s="15" t="str">
        <x:v>2026-02</x:v>
      </x:c>
      <x:c r="C230" s="15" t="str">
        <x:v>Accesorios</x:v>
      </x:c>
      <x:c r="D230" s="15" t="str">
        <x:v>Online</x:v>
      </x:c>
      <x:c r="E230" s="15" t="n">
        <x:v>1</x:v>
      </x:c>
      <x:c r="F230" s="15" t="n">
        <x:v>0</x:v>
      </x:c>
      <x:c r="G230" s="19" t="n">
        <x:v>30</x:v>
      </x:c>
      <x:c r="H230" s="19" t="n">
        <x:v>9</x:v>
      </x:c>
      <x:c r="I230" s="17" t="n">
        <x:v>0.3</x:v>
      </x:c>
      <x:c r="J230" s="19" t="n">
        <x:v>6</x:v>
      </x:c>
      <x:c r="K230" s="19" t="n">
        <x:f>E230*G230</x:f>
        <x:v>30</x:v>
      </x:c>
      <x:c r="L230" s="19" t="n">
        <x:f>K230*I230</x:f>
        <x:v>9</x:v>
      </x:c>
      <x:c r="M230" s="19" t="n">
        <x:f>(E230-F230)*G230*(1-I230)</x:f>
        <x:v>21</x:v>
      </x:c>
      <x:c r="N230" s="19" t="n">
        <x:f>(E230-F230)*H230</x:f>
        <x:v>9</x:v>
      </x:c>
      <x:c r="O230" s="19" t="n">
        <x:f>F230*J230</x:f>
        <x:v>0</x:v>
      </x:c>
      <x:c r="P230" s="19" t="n">
        <x:f>M230-N230-O230</x:f>
        <x:v>12</x:v>
      </x:c>
    </x:row>
    <x:row r="231">
      <x:c r="A231" s="15" t="str">
        <x:v>SIM-0227</x:v>
      </x:c>
      <x:c r="B231" s="15" t="str">
        <x:v>2026-02</x:v>
      </x:c>
      <x:c r="C231" s="15" t="str">
        <x:v>Accesorios</x:v>
      </x:c>
      <x:c r="D231" s="15" t="str">
        <x:v>Online</x:v>
      </x:c>
      <x:c r="E231" s="15" t="n">
        <x:v>2</x:v>
      </x:c>
      <x:c r="F231" s="15" t="n">
        <x:v>0</x:v>
      </x:c>
      <x:c r="G231" s="19" t="n">
        <x:v>30</x:v>
      </x:c>
      <x:c r="H231" s="19" t="n">
        <x:v>9</x:v>
      </x:c>
      <x:c r="I231" s="17" t="n">
        <x:v>0</x:v>
      </x:c>
      <x:c r="J231" s="19" t="n">
        <x:v>6</x:v>
      </x:c>
      <x:c r="K231" s="19" t="n">
        <x:f>E231*G231</x:f>
        <x:v>60</x:v>
      </x:c>
      <x:c r="L231" s="19" t="n">
        <x:f>K231*I231</x:f>
        <x:v>0</x:v>
      </x:c>
      <x:c r="M231" s="19" t="n">
        <x:f>(E231-F231)*G231*(1-I231)</x:f>
        <x:v>60</x:v>
      </x:c>
      <x:c r="N231" s="19" t="n">
        <x:f>(E231-F231)*H231</x:f>
        <x:v>18</x:v>
      </x:c>
      <x:c r="O231" s="19" t="n">
        <x:f>F231*J231</x:f>
        <x:v>0</x:v>
      </x:c>
      <x:c r="P231" s="19" t="n">
        <x:f>M231-N231-O231</x:f>
        <x:v>42</x:v>
      </x:c>
    </x:row>
    <x:row r="232">
      <x:c r="A232" s="15" t="str">
        <x:v>SIM-0228</x:v>
      </x:c>
      <x:c r="B232" s="15" t="str">
        <x:v>2026-02</x:v>
      </x:c>
      <x:c r="C232" s="15" t="str">
        <x:v>Accesorios</x:v>
      </x:c>
      <x:c r="D232" s="15" t="str">
        <x:v>Online</x:v>
      </x:c>
      <x:c r="E232" s="15" t="n">
        <x:v>1</x:v>
      </x:c>
      <x:c r="F232" s="15" t="n">
        <x:v>0</x:v>
      </x:c>
      <x:c r="G232" s="19" t="n">
        <x:v>30</x:v>
      </x:c>
      <x:c r="H232" s="19" t="n">
        <x:v>9</x:v>
      </x:c>
      <x:c r="I232" s="17" t="n">
        <x:v>0</x:v>
      </x:c>
      <x:c r="J232" s="19" t="n">
        <x:v>6</x:v>
      </x:c>
      <x:c r="K232" s="19" t="n">
        <x:f>E232*G232</x:f>
        <x:v>30</x:v>
      </x:c>
      <x:c r="L232" s="19" t="n">
        <x:f>K232*I232</x:f>
        <x:v>0</x:v>
      </x:c>
      <x:c r="M232" s="19" t="n">
        <x:f>(E232-F232)*G232*(1-I232)</x:f>
        <x:v>30</x:v>
      </x:c>
      <x:c r="N232" s="19" t="n">
        <x:f>(E232-F232)*H232</x:f>
        <x:v>9</x:v>
      </x:c>
      <x:c r="O232" s="19" t="n">
        <x:f>F232*J232</x:f>
        <x:v>0</x:v>
      </x:c>
      <x:c r="P232" s="19" t="n">
        <x:f>M232-N232-O232</x:f>
        <x:v>21</x:v>
      </x:c>
    </x:row>
    <x:row r="233">
      <x:c r="A233" s="15" t="str">
        <x:v>SIM-0229</x:v>
      </x:c>
      <x:c r="B233" s="15" t="str">
        <x:v>2026-02</x:v>
      </x:c>
      <x:c r="C233" s="15" t="str">
        <x:v>Prendas</x:v>
      </x:c>
      <x:c r="D233" s="15" t="str">
        <x:v>Online</x:v>
      </x:c>
      <x:c r="E233" s="15" t="n">
        <x:v>2</x:v>
      </x:c>
      <x:c r="F233" s="15" t="n">
        <x:v>1</x:v>
      </x:c>
      <x:c r="G233" s="19" t="n">
        <x:v>60</x:v>
      </x:c>
      <x:c r="H233" s="19" t="n">
        <x:v>24</x:v>
      </x:c>
      <x:c r="I233" s="17" t="n">
        <x:v>0.1</x:v>
      </x:c>
      <x:c r="J233" s="19" t="n">
        <x:v>6</x:v>
      </x:c>
      <x:c r="K233" s="19" t="n">
        <x:f>E233*G233</x:f>
        <x:v>120</x:v>
      </x:c>
      <x:c r="L233" s="19" t="n">
        <x:f>K233*I233</x:f>
        <x:v>12</x:v>
      </x:c>
      <x:c r="M233" s="19" t="n">
        <x:f>(E233-F233)*G233*(1-I233)</x:f>
        <x:v>54</x:v>
      </x:c>
      <x:c r="N233" s="19" t="n">
        <x:f>(E233-F233)*H233</x:f>
        <x:v>24</x:v>
      </x:c>
      <x:c r="O233" s="19" t="n">
        <x:f>F233*J233</x:f>
        <x:v>6</x:v>
      </x:c>
      <x:c r="P233" s="19" t="n">
        <x:f>M233-N233-O233</x:f>
        <x:v>24</x:v>
      </x:c>
    </x:row>
    <x:row r="234">
      <x:c r="A234" s="15" t="str">
        <x:v>SIM-0230</x:v>
      </x:c>
      <x:c r="B234" s="15" t="str">
        <x:v>2026-02</x:v>
      </x:c>
      <x:c r="C234" s="15" t="str">
        <x:v>Prendas</x:v>
      </x:c>
      <x:c r="D234" s="15" t="str">
        <x:v>Online</x:v>
      </x:c>
      <x:c r="E234" s="15" t="n">
        <x:v>1</x:v>
      </x:c>
      <x:c r="F234" s="15" t="n">
        <x:v>0</x:v>
      </x:c>
      <x:c r="G234" s="19" t="n">
        <x:v>60</x:v>
      </x:c>
      <x:c r="H234" s="19" t="n">
        <x:v>24</x:v>
      </x:c>
      <x:c r="I234" s="17" t="n">
        <x:v>0.2</x:v>
      </x:c>
      <x:c r="J234" s="19" t="n">
        <x:v>6</x:v>
      </x:c>
      <x:c r="K234" s="19" t="n">
        <x:f>E234*G234</x:f>
        <x:v>60</x:v>
      </x:c>
      <x:c r="L234" s="19" t="n">
        <x:f>K234*I234</x:f>
        <x:v>12</x:v>
      </x:c>
      <x:c r="M234" s="19" t="n">
        <x:f>(E234-F234)*G234*(1-I234)</x:f>
        <x:v>48</x:v>
      </x:c>
      <x:c r="N234" s="19" t="n">
        <x:f>(E234-F234)*H234</x:f>
        <x:v>24</x:v>
      </x:c>
      <x:c r="O234" s="19" t="n">
        <x:f>F234*J234</x:f>
        <x:v>0</x:v>
      </x:c>
      <x:c r="P234" s="19" t="n">
        <x:f>M234-N234-O234</x:f>
        <x:v>24</x:v>
      </x:c>
    </x:row>
    <x:row r="235">
      <x:c r="A235" s="15" t="str">
        <x:v>SIM-0231</x:v>
      </x:c>
      <x:c r="B235" s="15" t="str">
        <x:v>2026-02</x:v>
      </x:c>
      <x:c r="C235" s="15" t="str">
        <x:v>Accesorios</x:v>
      </x:c>
      <x:c r="D235" s="15" t="str">
        <x:v>Tienda</x:v>
      </x:c>
      <x:c r="E235" s="15" t="n">
        <x:v>1</x:v>
      </x:c>
      <x:c r="F235" s="15" t="n">
        <x:v>0</x:v>
      </x:c>
      <x:c r="G235" s="19" t="n">
        <x:v>30</x:v>
      </x:c>
      <x:c r="H235" s="19" t="n">
        <x:v>9</x:v>
      </x:c>
      <x:c r="I235" s="17" t="n">
        <x:v>0.1</x:v>
      </x:c>
      <x:c r="J235" s="19" t="n">
        <x:v>2</x:v>
      </x:c>
      <x:c r="K235" s="19" t="n">
        <x:f>E235*G235</x:f>
        <x:v>30</x:v>
      </x:c>
      <x:c r="L235" s="19" t="n">
        <x:f>K235*I235</x:f>
        <x:v>3</x:v>
      </x:c>
      <x:c r="M235" s="19" t="n">
        <x:f>(E235-F235)*G235*(1-I235)</x:f>
        <x:v>27</x:v>
      </x:c>
      <x:c r="N235" s="19" t="n">
        <x:f>(E235-F235)*H235</x:f>
        <x:v>9</x:v>
      </x:c>
      <x:c r="O235" s="19" t="n">
        <x:f>F235*J235</x:f>
        <x:v>0</x:v>
      </x:c>
      <x:c r="P235" s="19" t="n">
        <x:f>M235-N235-O235</x:f>
        <x:v>18</x:v>
      </x:c>
    </x:row>
    <x:row r="236">
      <x:c r="A236" s="15" t="str">
        <x:v>SIM-0232</x:v>
      </x:c>
      <x:c r="B236" s="15" t="str">
        <x:v>2026-02</x:v>
      </x:c>
      <x:c r="C236" s="15" t="str">
        <x:v>Calzado</x:v>
      </x:c>
      <x:c r="D236" s="15" t="str">
        <x:v>Online</x:v>
      </x:c>
      <x:c r="E236" s="15" t="n">
        <x:v>2</x:v>
      </x:c>
      <x:c r="F236" s="15" t="n">
        <x:v>1</x:v>
      </x:c>
      <x:c r="G236" s="19" t="n">
        <x:v>90</x:v>
      </x:c>
      <x:c r="H236" s="19" t="n">
        <x:v>42</x:v>
      </x:c>
      <x:c r="I236" s="17" t="n">
        <x:v>0</x:v>
      </x:c>
      <x:c r="J236" s="19" t="n">
        <x:v>6</x:v>
      </x:c>
      <x:c r="K236" s="19" t="n">
        <x:f>E236*G236</x:f>
        <x:v>180</x:v>
      </x:c>
      <x:c r="L236" s="19" t="n">
        <x:f>K236*I236</x:f>
        <x:v>0</x:v>
      </x:c>
      <x:c r="M236" s="19" t="n">
        <x:f>(E236-F236)*G236*(1-I236)</x:f>
        <x:v>90</x:v>
      </x:c>
      <x:c r="N236" s="19" t="n">
        <x:f>(E236-F236)*H236</x:f>
        <x:v>42</x:v>
      </x:c>
      <x:c r="O236" s="19" t="n">
        <x:f>F236*J236</x:f>
        <x:v>6</x:v>
      </x:c>
      <x:c r="P236" s="19" t="n">
        <x:f>M236-N236-O236</x:f>
        <x:v>42</x:v>
      </x:c>
    </x:row>
    <x:row r="237">
      <x:c r="A237" s="15" t="str">
        <x:v>SIM-0233</x:v>
      </x:c>
      <x:c r="B237" s="15" t="str">
        <x:v>2026-02</x:v>
      </x:c>
      <x:c r="C237" s="15" t="str">
        <x:v>Calzado</x:v>
      </x:c>
      <x:c r="D237" s="15" t="str">
        <x:v>Online</x:v>
      </x:c>
      <x:c r="E237" s="15" t="n">
        <x:v>2</x:v>
      </x:c>
      <x:c r="F237" s="15" t="n">
        <x:v>0</x:v>
      </x:c>
      <x:c r="G237" s="19" t="n">
        <x:v>90</x:v>
      </x:c>
      <x:c r="H237" s="19" t="n">
        <x:v>42</x:v>
      </x:c>
      <x:c r="I237" s="17" t="n">
        <x:v>0</x:v>
      </x:c>
      <x:c r="J237" s="19" t="n">
        <x:v>6</x:v>
      </x:c>
      <x:c r="K237" s="19" t="n">
        <x:f>E237*G237</x:f>
        <x:v>180</x:v>
      </x:c>
      <x:c r="L237" s="19" t="n">
        <x:f>K237*I237</x:f>
        <x:v>0</x:v>
      </x:c>
      <x:c r="M237" s="19" t="n">
        <x:f>(E237-F237)*G237*(1-I237)</x:f>
        <x:v>180</x:v>
      </x:c>
      <x:c r="N237" s="19" t="n">
        <x:f>(E237-F237)*H237</x:f>
        <x:v>84</x:v>
      </x:c>
      <x:c r="O237" s="19" t="n">
        <x:f>F237*J237</x:f>
        <x:v>0</x:v>
      </x:c>
      <x:c r="P237" s="19" t="n">
        <x:f>M237-N237-O237</x:f>
        <x:v>96</x:v>
      </x:c>
    </x:row>
    <x:row r="238">
      <x:c r="A238" s="15" t="str">
        <x:v>SIM-0234</x:v>
      </x:c>
      <x:c r="B238" s="15" t="str">
        <x:v>2026-02</x:v>
      </x:c>
      <x:c r="C238" s="15" t="str">
        <x:v>Prendas</x:v>
      </x:c>
      <x:c r="D238" s="15" t="str">
        <x:v>Online</x:v>
      </x:c>
      <x:c r="E238" s="15" t="n">
        <x:v>1</x:v>
      </x:c>
      <x:c r="F238" s="15" t="n">
        <x:v>0</x:v>
      </x:c>
      <x:c r="G238" s="19" t="n">
        <x:v>60</x:v>
      </x:c>
      <x:c r="H238" s="19" t="n">
        <x:v>24</x:v>
      </x:c>
      <x:c r="I238" s="17" t="n">
        <x:v>0</x:v>
      </x:c>
      <x:c r="J238" s="19" t="n">
        <x:v>6</x:v>
      </x:c>
      <x:c r="K238" s="19" t="n">
        <x:f>E238*G238</x:f>
        <x:v>60</x:v>
      </x:c>
      <x:c r="L238" s="19" t="n">
        <x:f>K238*I238</x:f>
        <x:v>0</x:v>
      </x:c>
      <x:c r="M238" s="19" t="n">
        <x:f>(E238-F238)*G238*(1-I238)</x:f>
        <x:v>60</x:v>
      </x:c>
      <x:c r="N238" s="19" t="n">
        <x:f>(E238-F238)*H238</x:f>
        <x:v>24</x:v>
      </x:c>
      <x:c r="O238" s="19" t="n">
        <x:f>F238*J238</x:f>
        <x:v>0</x:v>
      </x:c>
      <x:c r="P238" s="19" t="n">
        <x:f>M238-N238-O238</x:f>
        <x:v>36</x:v>
      </x:c>
    </x:row>
    <x:row r="239">
      <x:c r="A239" s="15" t="str">
        <x:v>SIM-0235</x:v>
      </x:c>
      <x:c r="B239" s="15" t="str">
        <x:v>2026-02</x:v>
      </x:c>
      <x:c r="C239" s="15" t="str">
        <x:v>Prendas</x:v>
      </x:c>
      <x:c r="D239" s="15" t="str">
        <x:v>Online</x:v>
      </x:c>
      <x:c r="E239" s="15" t="n">
        <x:v>2</x:v>
      </x:c>
      <x:c r="F239" s="15" t="n">
        <x:v>0</x:v>
      </x:c>
      <x:c r="G239" s="19" t="n">
        <x:v>60</x:v>
      </x:c>
      <x:c r="H239" s="19" t="n">
        <x:v>24</x:v>
      </x:c>
      <x:c r="I239" s="17" t="n">
        <x:v>0.2</x:v>
      </x:c>
      <x:c r="J239" s="19" t="n">
        <x:v>6</x:v>
      </x:c>
      <x:c r="K239" s="19" t="n">
        <x:f>E239*G239</x:f>
        <x:v>120</x:v>
      </x:c>
      <x:c r="L239" s="19" t="n">
        <x:f>K239*I239</x:f>
        <x:v>24</x:v>
      </x:c>
      <x:c r="M239" s="19" t="n">
        <x:f>(E239-F239)*G239*(1-I239)</x:f>
        <x:v>96</x:v>
      </x:c>
      <x:c r="N239" s="19" t="n">
        <x:f>(E239-F239)*H239</x:f>
        <x:v>48</x:v>
      </x:c>
      <x:c r="O239" s="19" t="n">
        <x:f>F239*J239</x:f>
        <x:v>0</x:v>
      </x:c>
      <x:c r="P239" s="19" t="n">
        <x:f>M239-N239-O239</x:f>
        <x:v>48</x:v>
      </x:c>
    </x:row>
    <x:row r="240">
      <x:c r="A240" s="15" t="str">
        <x:v>SIM-0236</x:v>
      </x:c>
      <x:c r="B240" s="15" t="str">
        <x:v>2026-02</x:v>
      </x:c>
      <x:c r="C240" s="15" t="str">
        <x:v>Accesorios</x:v>
      </x:c>
      <x:c r="D240" s="15" t="str">
        <x:v>Tienda</x:v>
      </x:c>
      <x:c r="E240" s="15" t="n">
        <x:v>1</x:v>
      </x:c>
      <x:c r="F240" s="15" t="n">
        <x:v>0</x:v>
      </x:c>
      <x:c r="G240" s="19" t="n">
        <x:v>30</x:v>
      </x:c>
      <x:c r="H240" s="19" t="n">
        <x:v>9</x:v>
      </x:c>
      <x:c r="I240" s="17" t="n">
        <x:v>0</x:v>
      </x:c>
      <x:c r="J240" s="19" t="n">
        <x:v>2</x:v>
      </x:c>
      <x:c r="K240" s="19" t="n">
        <x:f>E240*G240</x:f>
        <x:v>30</x:v>
      </x:c>
      <x:c r="L240" s="19" t="n">
        <x:f>K240*I240</x:f>
        <x:v>0</x:v>
      </x:c>
      <x:c r="M240" s="19" t="n">
        <x:f>(E240-F240)*G240*(1-I240)</x:f>
        <x:v>30</x:v>
      </x:c>
      <x:c r="N240" s="19" t="n">
        <x:f>(E240-F240)*H240</x:f>
        <x:v>9</x:v>
      </x:c>
      <x:c r="O240" s="19" t="n">
        <x:f>F240*J240</x:f>
        <x:v>0</x:v>
      </x:c>
      <x:c r="P240" s="19" t="n">
        <x:f>M240-N240-O240</x:f>
        <x:v>21</x:v>
      </x:c>
    </x:row>
    <x:row r="241">
      <x:c r="A241" s="15" t="str">
        <x:v>SIM-0237</x:v>
      </x:c>
      <x:c r="B241" s="15" t="str">
        <x:v>2026-02</x:v>
      </x:c>
      <x:c r="C241" s="15" t="str">
        <x:v>Prendas</x:v>
      </x:c>
      <x:c r="D241" s="15" t="str">
        <x:v>Tienda</x:v>
      </x:c>
      <x:c r="E241" s="15" t="n">
        <x:v>1</x:v>
      </x:c>
      <x:c r="F241" s="15" t="n">
        <x:v>0</x:v>
      </x:c>
      <x:c r="G241" s="19" t="n">
        <x:v>60</x:v>
      </x:c>
      <x:c r="H241" s="19" t="n">
        <x:v>24</x:v>
      </x:c>
      <x:c r="I241" s="17" t="n">
        <x:v>0.3</x:v>
      </x:c>
      <x:c r="J241" s="19" t="n">
        <x:v>2</x:v>
      </x:c>
      <x:c r="K241" s="19" t="n">
        <x:f>E241*G241</x:f>
        <x:v>60</x:v>
      </x:c>
      <x:c r="L241" s="19" t="n">
        <x:f>K241*I241</x:f>
        <x:v>18</x:v>
      </x:c>
      <x:c r="M241" s="19" t="n">
        <x:f>(E241-F241)*G241*(1-I241)</x:f>
        <x:v>42</x:v>
      </x:c>
      <x:c r="N241" s="19" t="n">
        <x:f>(E241-F241)*H241</x:f>
        <x:v>24</x:v>
      </x:c>
      <x:c r="O241" s="19" t="n">
        <x:f>F241*J241</x:f>
        <x:v>0</x:v>
      </x:c>
      <x:c r="P241" s="19" t="n">
        <x:f>M241-N241-O241</x:f>
        <x:v>18</x:v>
      </x:c>
    </x:row>
    <x:row r="242">
      <x:c r="A242" s="15" t="str">
        <x:v>SIM-0238</x:v>
      </x:c>
      <x:c r="B242" s="15" t="str">
        <x:v>2026-02</x:v>
      </x:c>
      <x:c r="C242" s="15" t="str">
        <x:v>Prendas</x:v>
      </x:c>
      <x:c r="D242" s="15" t="str">
        <x:v>Tienda</x:v>
      </x:c>
      <x:c r="E242" s="15" t="n">
        <x:v>2</x:v>
      </x:c>
      <x:c r="F242" s="15" t="n">
        <x:v>0</x:v>
      </x:c>
      <x:c r="G242" s="19" t="n">
        <x:v>60</x:v>
      </x:c>
      <x:c r="H242" s="19" t="n">
        <x:v>24</x:v>
      </x:c>
      <x:c r="I242" s="17" t="n">
        <x:v>0</x:v>
      </x:c>
      <x:c r="J242" s="19" t="n">
        <x:v>2</x:v>
      </x:c>
      <x:c r="K242" s="19" t="n">
        <x:f>E242*G242</x:f>
        <x:v>120</x:v>
      </x:c>
      <x:c r="L242" s="19" t="n">
        <x:f>K242*I242</x:f>
        <x:v>0</x:v>
      </x:c>
      <x:c r="M242" s="19" t="n">
        <x:f>(E242-F242)*G242*(1-I242)</x:f>
        <x:v>120</x:v>
      </x:c>
      <x:c r="N242" s="19" t="n">
        <x:f>(E242-F242)*H242</x:f>
        <x:v>48</x:v>
      </x:c>
      <x:c r="O242" s="19" t="n">
        <x:f>F242*J242</x:f>
        <x:v>0</x:v>
      </x:c>
      <x:c r="P242" s="19" t="n">
        <x:f>M242-N242-O242</x:f>
        <x:v>72</x:v>
      </x:c>
    </x:row>
    <x:row r="243">
      <x:c r="A243" s="15" t="str">
        <x:v>SIM-0239</x:v>
      </x:c>
      <x:c r="B243" s="15" t="str">
        <x:v>2026-02</x:v>
      </x:c>
      <x:c r="C243" s="15" t="str">
        <x:v>Calzado</x:v>
      </x:c>
      <x:c r="D243" s="15" t="str">
        <x:v>Tienda</x:v>
      </x:c>
      <x:c r="E243" s="15" t="n">
        <x:v>1</x:v>
      </x:c>
      <x:c r="F243" s="15" t="n">
        <x:v>0</x:v>
      </x:c>
      <x:c r="G243" s="19" t="n">
        <x:v>90</x:v>
      </x:c>
      <x:c r="H243" s="19" t="n">
        <x:v>42</x:v>
      </x:c>
      <x:c r="I243" s="17" t="n">
        <x:v>0.3</x:v>
      </x:c>
      <x:c r="J243" s="19" t="n">
        <x:v>2</x:v>
      </x:c>
      <x:c r="K243" s="19" t="n">
        <x:f>E243*G243</x:f>
        <x:v>90</x:v>
      </x:c>
      <x:c r="L243" s="19" t="n">
        <x:f>K243*I243</x:f>
        <x:v>27</x:v>
      </x:c>
      <x:c r="M243" s="19" t="n">
        <x:f>(E243-F243)*G243*(1-I243)</x:f>
        <x:v>62.99999999999999</x:v>
      </x:c>
      <x:c r="N243" s="19" t="n">
        <x:f>(E243-F243)*H243</x:f>
        <x:v>42</x:v>
      </x:c>
      <x:c r="O243" s="19" t="n">
        <x:f>F243*J243</x:f>
        <x:v>0</x:v>
      </x:c>
      <x:c r="P243" s="19" t="n">
        <x:f>M243-N243-O243</x:f>
        <x:v>20.999999999999993</x:v>
      </x:c>
    </x:row>
    <x:row r="244">
      <x:c r="A244" s="15" t="str">
        <x:v>SIM-0240</x:v>
      </x:c>
      <x:c r="B244" s="15" t="str">
        <x:v>2026-02</x:v>
      </x:c>
      <x:c r="C244" s="15" t="str">
        <x:v>Prendas</x:v>
      </x:c>
      <x:c r="D244" s="15" t="str">
        <x:v>Online</x:v>
      </x:c>
      <x:c r="E244" s="15" t="n">
        <x:v>2</x:v>
      </x:c>
      <x:c r="F244" s="15" t="n">
        <x:v>0</x:v>
      </x:c>
      <x:c r="G244" s="19" t="n">
        <x:v>60</x:v>
      </x:c>
      <x:c r="H244" s="19" t="n">
        <x:v>24</x:v>
      </x:c>
      <x:c r="I244" s="17" t="n">
        <x:v>0</x:v>
      </x:c>
      <x:c r="J244" s="19" t="n">
        <x:v>6</x:v>
      </x:c>
      <x:c r="K244" s="19" t="n">
        <x:f>E244*G244</x:f>
        <x:v>120</x:v>
      </x:c>
      <x:c r="L244" s="19" t="n">
        <x:f>K244*I244</x:f>
        <x:v>0</x:v>
      </x:c>
      <x:c r="M244" s="19" t="n">
        <x:f>(E244-F244)*G244*(1-I244)</x:f>
        <x:v>120</x:v>
      </x:c>
      <x:c r="N244" s="19" t="n">
        <x:f>(E244-F244)*H244</x:f>
        <x:v>48</x:v>
      </x:c>
      <x:c r="O244" s="19" t="n">
        <x:f>F244*J244</x:f>
        <x:v>0</x:v>
      </x:c>
      <x:c r="P244" s="19" t="n">
        <x:f>M244-N244-O244</x:f>
        <x:v>72</x:v>
      </x:c>
    </x:row>
    <x:row r="245">
      <x:c r="A245" s="15" t="str">
        <x:v>SIM-0241</x:v>
      </x:c>
      <x:c r="B245" s="15" t="str">
        <x:v>2026-02</x:v>
      </x:c>
      <x:c r="C245" s="15" t="str">
        <x:v>Calzado</x:v>
      </x:c>
      <x:c r="D245" s="15" t="str">
        <x:v>Tienda</x:v>
      </x:c>
      <x:c r="E245" s="15" t="n">
        <x:v>2</x:v>
      </x:c>
      <x:c r="F245" s="15" t="n">
        <x:v>0</x:v>
      </x:c>
      <x:c r="G245" s="19" t="n">
        <x:v>90</x:v>
      </x:c>
      <x:c r="H245" s="19" t="n">
        <x:v>42</x:v>
      </x:c>
      <x:c r="I245" s="17" t="n">
        <x:v>0.1</x:v>
      </x:c>
      <x:c r="J245" s="19" t="n">
        <x:v>2</x:v>
      </x:c>
      <x:c r="K245" s="19" t="n">
        <x:f>E245*G245</x:f>
        <x:v>180</x:v>
      </x:c>
      <x:c r="L245" s="19" t="n">
        <x:f>K245*I245</x:f>
        <x:v>18</x:v>
      </x:c>
      <x:c r="M245" s="19" t="n">
        <x:f>(E245-F245)*G245*(1-I245)</x:f>
        <x:v>162</x:v>
      </x:c>
      <x:c r="N245" s="19" t="n">
        <x:f>(E245-F245)*H245</x:f>
        <x:v>84</x:v>
      </x:c>
      <x:c r="O245" s="19" t="n">
        <x:f>F245*J245</x:f>
        <x:v>0</x:v>
      </x:c>
      <x:c r="P245" s="19" t="n">
        <x:f>M245-N245-O245</x:f>
        <x:v>78</x:v>
      </x:c>
    </x:row>
    <x:row r="246">
      <x:c r="A246" s="15" t="str">
        <x:v>SIM-0242</x:v>
      </x:c>
      <x:c r="B246" s="15" t="str">
        <x:v>2026-02</x:v>
      </x:c>
      <x:c r="C246" s="15" t="str">
        <x:v>Prendas</x:v>
      </x:c>
      <x:c r="D246" s="15" t="str">
        <x:v>Online</x:v>
      </x:c>
      <x:c r="E246" s="15" t="n">
        <x:v>2</x:v>
      </x:c>
      <x:c r="F246" s="15" t="n">
        <x:v>0</x:v>
      </x:c>
      <x:c r="G246" s="19" t="n">
        <x:v>60</x:v>
      </x:c>
      <x:c r="H246" s="19" t="n">
        <x:v>24</x:v>
      </x:c>
      <x:c r="I246" s="17" t="n">
        <x:v>0</x:v>
      </x:c>
      <x:c r="J246" s="19" t="n">
        <x:v>6</x:v>
      </x:c>
      <x:c r="K246" s="19" t="n">
        <x:f>E246*G246</x:f>
        <x:v>120</x:v>
      </x:c>
      <x:c r="L246" s="19" t="n">
        <x:f>K246*I246</x:f>
        <x:v>0</x:v>
      </x:c>
      <x:c r="M246" s="19" t="n">
        <x:f>(E246-F246)*G246*(1-I246)</x:f>
        <x:v>120</x:v>
      </x:c>
      <x:c r="N246" s="19" t="n">
        <x:f>(E246-F246)*H246</x:f>
        <x:v>48</x:v>
      </x:c>
      <x:c r="O246" s="19" t="n">
        <x:f>F246*J246</x:f>
        <x:v>0</x:v>
      </x:c>
      <x:c r="P246" s="19" t="n">
        <x:f>M246-N246-O246</x:f>
        <x:v>72</x:v>
      </x:c>
    </x:row>
    <x:row r="247">
      <x:c r="A247" s="15" t="str">
        <x:v>SIM-0243</x:v>
      </x:c>
      <x:c r="B247" s="15" t="str">
        <x:v>2026-02</x:v>
      </x:c>
      <x:c r="C247" s="15" t="str">
        <x:v>Prendas</x:v>
      </x:c>
      <x:c r="D247" s="15" t="str">
        <x:v>Online</x:v>
      </x:c>
      <x:c r="E247" s="15" t="n">
        <x:v>3</x:v>
      </x:c>
      <x:c r="F247" s="15" t="n">
        <x:v>0</x:v>
      </x:c>
      <x:c r="G247" s="19" t="n">
        <x:v>60</x:v>
      </x:c>
      <x:c r="H247" s="19" t="n">
        <x:v>24</x:v>
      </x:c>
      <x:c r="I247" s="17" t="n">
        <x:v>0</x:v>
      </x:c>
      <x:c r="J247" s="19" t="n">
        <x:v>6</x:v>
      </x:c>
      <x:c r="K247" s="19" t="n">
        <x:f>E247*G247</x:f>
        <x:v>180</x:v>
      </x:c>
      <x:c r="L247" s="19" t="n">
        <x:f>K247*I247</x:f>
        <x:v>0</x:v>
      </x:c>
      <x:c r="M247" s="19" t="n">
        <x:f>(E247-F247)*G247*(1-I247)</x:f>
        <x:v>180</x:v>
      </x:c>
      <x:c r="N247" s="19" t="n">
        <x:f>(E247-F247)*H247</x:f>
        <x:v>72</x:v>
      </x:c>
      <x:c r="O247" s="19" t="n">
        <x:f>F247*J247</x:f>
        <x:v>0</x:v>
      </x:c>
      <x:c r="P247" s="19" t="n">
        <x:f>M247-N247-O247</x:f>
        <x:v>108</x:v>
      </x:c>
    </x:row>
    <x:row r="248">
      <x:c r="A248" s="15" t="str">
        <x:v>SIM-0244</x:v>
      </x:c>
      <x:c r="B248" s="15" t="str">
        <x:v>2026-02</x:v>
      </x:c>
      <x:c r="C248" s="15" t="str">
        <x:v>Prendas</x:v>
      </x:c>
      <x:c r="D248" s="15" t="str">
        <x:v>Tienda</x:v>
      </x:c>
      <x:c r="E248" s="15" t="n">
        <x:v>2</x:v>
      </x:c>
      <x:c r="F248" s="15" t="n">
        <x:v>0</x:v>
      </x:c>
      <x:c r="G248" s="19" t="n">
        <x:v>60</x:v>
      </x:c>
      <x:c r="H248" s="19" t="n">
        <x:v>24</x:v>
      </x:c>
      <x:c r="I248" s="17" t="n">
        <x:v>0</x:v>
      </x:c>
      <x:c r="J248" s="19" t="n">
        <x:v>2</x:v>
      </x:c>
      <x:c r="K248" s="19" t="n">
        <x:f>E248*G248</x:f>
        <x:v>120</x:v>
      </x:c>
      <x:c r="L248" s="19" t="n">
        <x:f>K248*I248</x:f>
        <x:v>0</x:v>
      </x:c>
      <x:c r="M248" s="19" t="n">
        <x:f>(E248-F248)*G248*(1-I248)</x:f>
        <x:v>120</x:v>
      </x:c>
      <x:c r="N248" s="19" t="n">
        <x:f>(E248-F248)*H248</x:f>
        <x:v>48</x:v>
      </x:c>
      <x:c r="O248" s="19" t="n">
        <x:f>F248*J248</x:f>
        <x:v>0</x:v>
      </x:c>
      <x:c r="P248" s="19" t="n">
        <x:f>M248-N248-O248</x:f>
        <x:v>72</x:v>
      </x:c>
    </x:row>
    <x:row r="249">
      <x:c r="A249" s="15" t="str">
        <x:v>SIM-0245</x:v>
      </x:c>
      <x:c r="B249" s="15" t="str">
        <x:v>2026-02</x:v>
      </x:c>
      <x:c r="C249" s="15" t="str">
        <x:v>Prendas</x:v>
      </x:c>
      <x:c r="D249" s="15" t="str">
        <x:v>Online</x:v>
      </x:c>
      <x:c r="E249" s="15" t="n">
        <x:v>2</x:v>
      </x:c>
      <x:c r="F249" s="15" t="n">
        <x:v>0</x:v>
      </x:c>
      <x:c r="G249" s="19" t="n">
        <x:v>60</x:v>
      </x:c>
      <x:c r="H249" s="19" t="n">
        <x:v>24</x:v>
      </x:c>
      <x:c r="I249" s="17" t="n">
        <x:v>0.2</x:v>
      </x:c>
      <x:c r="J249" s="19" t="n">
        <x:v>6</x:v>
      </x:c>
      <x:c r="K249" s="19" t="n">
        <x:f>E249*G249</x:f>
        <x:v>120</x:v>
      </x:c>
      <x:c r="L249" s="19" t="n">
        <x:f>K249*I249</x:f>
        <x:v>24</x:v>
      </x:c>
      <x:c r="M249" s="19" t="n">
        <x:f>(E249-F249)*G249*(1-I249)</x:f>
        <x:v>96</x:v>
      </x:c>
      <x:c r="N249" s="19" t="n">
        <x:f>(E249-F249)*H249</x:f>
        <x:v>48</x:v>
      </x:c>
      <x:c r="O249" s="19" t="n">
        <x:f>F249*J249</x:f>
        <x:v>0</x:v>
      </x:c>
      <x:c r="P249" s="19" t="n">
        <x:f>M249-N249-O249</x:f>
        <x:v>48</x:v>
      </x:c>
    </x:row>
    <x:row r="250">
      <x:c r="A250" s="15" t="str">
        <x:v>SIM-0246</x:v>
      </x:c>
      <x:c r="B250" s="15" t="str">
        <x:v>2026-02</x:v>
      </x:c>
      <x:c r="C250" s="15" t="str">
        <x:v>Prendas</x:v>
      </x:c>
      <x:c r="D250" s="15" t="str">
        <x:v>Online</x:v>
      </x:c>
      <x:c r="E250" s="15" t="n">
        <x:v>1</x:v>
      </x:c>
      <x:c r="F250" s="15" t="n">
        <x:v>0</x:v>
      </x:c>
      <x:c r="G250" s="19" t="n">
        <x:v>60</x:v>
      </x:c>
      <x:c r="H250" s="19" t="n">
        <x:v>24</x:v>
      </x:c>
      <x:c r="I250" s="17" t="n">
        <x:v>0.1</x:v>
      </x:c>
      <x:c r="J250" s="19" t="n">
        <x:v>6</x:v>
      </x:c>
      <x:c r="K250" s="19" t="n">
        <x:f>E250*G250</x:f>
        <x:v>60</x:v>
      </x:c>
      <x:c r="L250" s="19" t="n">
        <x:f>K250*I250</x:f>
        <x:v>6</x:v>
      </x:c>
      <x:c r="M250" s="19" t="n">
        <x:f>(E250-F250)*G250*(1-I250)</x:f>
        <x:v>54</x:v>
      </x:c>
      <x:c r="N250" s="19" t="n">
        <x:f>(E250-F250)*H250</x:f>
        <x:v>24</x:v>
      </x:c>
      <x:c r="O250" s="19" t="n">
        <x:f>F250*J250</x:f>
        <x:v>0</x:v>
      </x:c>
      <x:c r="P250" s="19" t="n">
        <x:f>M250-N250-O250</x:f>
        <x:v>30</x:v>
      </x:c>
    </x:row>
    <x:row r="251">
      <x:c r="A251" s="15" t="str">
        <x:v>SIM-0247</x:v>
      </x:c>
      <x:c r="B251" s="15" t="str">
        <x:v>2026-02</x:v>
      </x:c>
      <x:c r="C251" s="15" t="str">
        <x:v>Accesorios</x:v>
      </x:c>
      <x:c r="D251" s="15" t="str">
        <x:v>Tienda</x:v>
      </x:c>
      <x:c r="E251" s="15" t="n">
        <x:v>1</x:v>
      </x:c>
      <x:c r="F251" s="15" t="n">
        <x:v>0</x:v>
      </x:c>
      <x:c r="G251" s="19" t="n">
        <x:v>30</x:v>
      </x:c>
      <x:c r="H251" s="19" t="n">
        <x:v>9</x:v>
      </x:c>
      <x:c r="I251" s="17" t="n">
        <x:v>0.3</x:v>
      </x:c>
      <x:c r="J251" s="19" t="n">
        <x:v>2</x:v>
      </x:c>
      <x:c r="K251" s="19" t="n">
        <x:f>E251*G251</x:f>
        <x:v>30</x:v>
      </x:c>
      <x:c r="L251" s="19" t="n">
        <x:f>K251*I251</x:f>
        <x:v>9</x:v>
      </x:c>
      <x:c r="M251" s="19" t="n">
        <x:f>(E251-F251)*G251*(1-I251)</x:f>
        <x:v>21</x:v>
      </x:c>
      <x:c r="N251" s="19" t="n">
        <x:f>(E251-F251)*H251</x:f>
        <x:v>9</x:v>
      </x:c>
      <x:c r="O251" s="19" t="n">
        <x:f>F251*J251</x:f>
        <x:v>0</x:v>
      </x:c>
      <x:c r="P251" s="19" t="n">
        <x:f>M251-N251-O251</x:f>
        <x:v>12</x:v>
      </x:c>
    </x:row>
    <x:row r="252">
      <x:c r="A252" s="15" t="str">
        <x:v>SIM-0248</x:v>
      </x:c>
      <x:c r="B252" s="15" t="str">
        <x:v>2026-02</x:v>
      </x:c>
      <x:c r="C252" s="15" t="str">
        <x:v>Prendas</x:v>
      </x:c>
      <x:c r="D252" s="15" t="str">
        <x:v>Online</x:v>
      </x:c>
      <x:c r="E252" s="15" t="n">
        <x:v>1</x:v>
      </x:c>
      <x:c r="F252" s="15" t="n">
        <x:v>0</x:v>
      </x:c>
      <x:c r="G252" s="19" t="n">
        <x:v>60</x:v>
      </x:c>
      <x:c r="H252" s="19" t="n">
        <x:v>24</x:v>
      </x:c>
      <x:c r="I252" s="17" t="n">
        <x:v>0.2</x:v>
      </x:c>
      <x:c r="J252" s="19" t="n">
        <x:v>6</x:v>
      </x:c>
      <x:c r="K252" s="19" t="n">
        <x:f>E252*G252</x:f>
        <x:v>60</x:v>
      </x:c>
      <x:c r="L252" s="19" t="n">
        <x:f>K252*I252</x:f>
        <x:v>12</x:v>
      </x:c>
      <x:c r="M252" s="19" t="n">
        <x:f>(E252-F252)*G252*(1-I252)</x:f>
        <x:v>48</x:v>
      </x:c>
      <x:c r="N252" s="19" t="n">
        <x:f>(E252-F252)*H252</x:f>
        <x:v>24</x:v>
      </x:c>
      <x:c r="O252" s="19" t="n">
        <x:f>F252*J252</x:f>
        <x:v>0</x:v>
      </x:c>
      <x:c r="P252" s="19" t="n">
        <x:f>M252-N252-O252</x:f>
        <x:v>24</x:v>
      </x:c>
    </x:row>
    <x:row r="253">
      <x:c r="A253" s="15" t="str">
        <x:v>SIM-0249</x:v>
      </x:c>
      <x:c r="B253" s="15" t="str">
        <x:v>2026-02</x:v>
      </x:c>
      <x:c r="C253" s="15" t="str">
        <x:v>Calzado</x:v>
      </x:c>
      <x:c r="D253" s="15" t="str">
        <x:v>Tienda</x:v>
      </x:c>
      <x:c r="E253" s="15" t="n">
        <x:v>1</x:v>
      </x:c>
      <x:c r="F253" s="15" t="n">
        <x:v>0</x:v>
      </x:c>
      <x:c r="G253" s="19" t="n">
        <x:v>90</x:v>
      </x:c>
      <x:c r="H253" s="19" t="n">
        <x:v>42</x:v>
      </x:c>
      <x:c r="I253" s="17" t="n">
        <x:v>0.1</x:v>
      </x:c>
      <x:c r="J253" s="19" t="n">
        <x:v>2</x:v>
      </x:c>
      <x:c r="K253" s="19" t="n">
        <x:f>E253*G253</x:f>
        <x:v>90</x:v>
      </x:c>
      <x:c r="L253" s="19" t="n">
        <x:f>K253*I253</x:f>
        <x:v>9</x:v>
      </x:c>
      <x:c r="M253" s="19" t="n">
        <x:f>(E253-F253)*G253*(1-I253)</x:f>
        <x:v>81</x:v>
      </x:c>
      <x:c r="N253" s="19" t="n">
        <x:f>(E253-F253)*H253</x:f>
        <x:v>42</x:v>
      </x:c>
      <x:c r="O253" s="19" t="n">
        <x:f>F253*J253</x:f>
        <x:v>0</x:v>
      </x:c>
      <x:c r="P253" s="19" t="n">
        <x:f>M253-N253-O253</x:f>
        <x:v>39</x:v>
      </x:c>
    </x:row>
    <x:row r="254">
      <x:c r="A254" s="15" t="str">
        <x:v>SIM-0250</x:v>
      </x:c>
      <x:c r="B254" s="15" t="str">
        <x:v>2026-02</x:v>
      </x:c>
      <x:c r="C254" s="15" t="str">
        <x:v>Calzado</x:v>
      </x:c>
      <x:c r="D254" s="15" t="str">
        <x:v>Online</x:v>
      </x:c>
      <x:c r="E254" s="15" t="n">
        <x:v>2</x:v>
      </x:c>
      <x:c r="F254" s="15" t="n">
        <x:v>0</x:v>
      </x:c>
      <x:c r="G254" s="19" t="n">
        <x:v>90</x:v>
      </x:c>
      <x:c r="H254" s="19" t="n">
        <x:v>42</x:v>
      </x:c>
      <x:c r="I254" s="17" t="n">
        <x:v>0.2</x:v>
      </x:c>
      <x:c r="J254" s="19" t="n">
        <x:v>6</x:v>
      </x:c>
      <x:c r="K254" s="19" t="n">
        <x:f>E254*G254</x:f>
        <x:v>180</x:v>
      </x:c>
      <x:c r="L254" s="19" t="n">
        <x:f>K254*I254</x:f>
        <x:v>36</x:v>
      </x:c>
      <x:c r="M254" s="19" t="n">
        <x:f>(E254-F254)*G254*(1-I254)</x:f>
        <x:v>144</x:v>
      </x:c>
      <x:c r="N254" s="19" t="n">
        <x:f>(E254-F254)*H254</x:f>
        <x:v>84</x:v>
      </x:c>
      <x:c r="O254" s="19" t="n">
        <x:f>F254*J254</x:f>
        <x:v>0</x:v>
      </x:c>
      <x:c r="P254" s="19" t="n">
        <x:f>M254-N254-O254</x:f>
        <x:v>60</x:v>
      </x:c>
    </x:row>
    <x:row r="255">
      <x:c r="A255" s="15" t="str">
        <x:v>SIM-0251</x:v>
      </x:c>
      <x:c r="B255" s="15" t="str">
        <x:v>2026-02</x:v>
      </x:c>
      <x:c r="C255" s="15" t="str">
        <x:v>Calzado</x:v>
      </x:c>
      <x:c r="D255" s="15" t="str">
        <x:v>Online</x:v>
      </x:c>
      <x:c r="E255" s="15" t="n">
        <x:v>3</x:v>
      </x:c>
      <x:c r="F255" s="15" t="n">
        <x:v>0</x:v>
      </x:c>
      <x:c r="G255" s="19" t="n">
        <x:v>90</x:v>
      </x:c>
      <x:c r="H255" s="19" t="n">
        <x:v>42</x:v>
      </x:c>
      <x:c r="I255" s="17" t="n">
        <x:v>0.2</x:v>
      </x:c>
      <x:c r="J255" s="19" t="n">
        <x:v>6</x:v>
      </x:c>
      <x:c r="K255" s="19" t="n">
        <x:f>E255*G255</x:f>
        <x:v>270</x:v>
      </x:c>
      <x:c r="L255" s="19" t="n">
        <x:f>K255*I255</x:f>
        <x:v>54</x:v>
      </x:c>
      <x:c r="M255" s="19" t="n">
        <x:f>(E255-F255)*G255*(1-I255)</x:f>
        <x:v>216</x:v>
      </x:c>
      <x:c r="N255" s="19" t="n">
        <x:f>(E255-F255)*H255</x:f>
        <x:v>126</x:v>
      </x:c>
      <x:c r="O255" s="19" t="n">
        <x:f>F255*J255</x:f>
        <x:v>0</x:v>
      </x:c>
      <x:c r="P255" s="19" t="n">
        <x:f>M255-N255-O255</x:f>
        <x:v>90</x:v>
      </x:c>
    </x:row>
    <x:row r="256">
      <x:c r="A256" s="15" t="str">
        <x:v>SIM-0252</x:v>
      </x:c>
      <x:c r="B256" s="15" t="str">
        <x:v>2026-02</x:v>
      </x:c>
      <x:c r="C256" s="15" t="str">
        <x:v>Accesorios</x:v>
      </x:c>
      <x:c r="D256" s="15" t="str">
        <x:v>Tienda</x:v>
      </x:c>
      <x:c r="E256" s="15" t="n">
        <x:v>1</x:v>
      </x:c>
      <x:c r="F256" s="15" t="n">
        <x:v>0</x:v>
      </x:c>
      <x:c r="G256" s="19" t="n">
        <x:v>30</x:v>
      </x:c>
      <x:c r="H256" s="19" t="n">
        <x:v>9</x:v>
      </x:c>
      <x:c r="I256" s="17" t="n">
        <x:v>0.1</x:v>
      </x:c>
      <x:c r="J256" s="19" t="n">
        <x:v>2</x:v>
      </x:c>
      <x:c r="K256" s="19" t="n">
        <x:f>E256*G256</x:f>
        <x:v>30</x:v>
      </x:c>
      <x:c r="L256" s="19" t="n">
        <x:f>K256*I256</x:f>
        <x:v>3</x:v>
      </x:c>
      <x:c r="M256" s="19" t="n">
        <x:f>(E256-F256)*G256*(1-I256)</x:f>
        <x:v>27</x:v>
      </x:c>
      <x:c r="N256" s="19" t="n">
        <x:f>(E256-F256)*H256</x:f>
        <x:v>9</x:v>
      </x:c>
      <x:c r="O256" s="19" t="n">
        <x:f>F256*J256</x:f>
        <x:v>0</x:v>
      </x:c>
      <x:c r="P256" s="19" t="n">
        <x:f>M256-N256-O256</x:f>
        <x:v>18</x:v>
      </x:c>
    </x:row>
    <x:row r="257">
      <x:c r="A257" s="15" t="str">
        <x:v>SIM-0253</x:v>
      </x:c>
      <x:c r="B257" s="15" t="str">
        <x:v>2026-02</x:v>
      </x:c>
      <x:c r="C257" s="15" t="str">
        <x:v>Accesorios</x:v>
      </x:c>
      <x:c r="D257" s="15" t="str">
        <x:v>Tienda</x:v>
      </x:c>
      <x:c r="E257" s="15" t="n">
        <x:v>1</x:v>
      </x:c>
      <x:c r="F257" s="15" t="n">
        <x:v>0</x:v>
      </x:c>
      <x:c r="G257" s="19" t="n">
        <x:v>30</x:v>
      </x:c>
      <x:c r="H257" s="19" t="n">
        <x:v>9</x:v>
      </x:c>
      <x:c r="I257" s="17" t="n">
        <x:v>0.1</x:v>
      </x:c>
      <x:c r="J257" s="19" t="n">
        <x:v>2</x:v>
      </x:c>
      <x:c r="K257" s="19" t="n">
        <x:f>E257*G257</x:f>
        <x:v>30</x:v>
      </x:c>
      <x:c r="L257" s="19" t="n">
        <x:f>K257*I257</x:f>
        <x:v>3</x:v>
      </x:c>
      <x:c r="M257" s="19" t="n">
        <x:f>(E257-F257)*G257*(1-I257)</x:f>
        <x:v>27</x:v>
      </x:c>
      <x:c r="N257" s="19" t="n">
        <x:f>(E257-F257)*H257</x:f>
        <x:v>9</x:v>
      </x:c>
      <x:c r="O257" s="19" t="n">
        <x:f>F257*J257</x:f>
        <x:v>0</x:v>
      </x:c>
      <x:c r="P257" s="19" t="n">
        <x:f>M257-N257-O257</x:f>
        <x:v>18</x:v>
      </x:c>
    </x:row>
    <x:row r="258">
      <x:c r="A258" s="15" t="str">
        <x:v>SIM-0254</x:v>
      </x:c>
      <x:c r="B258" s="15" t="str">
        <x:v>2026-02</x:v>
      </x:c>
      <x:c r="C258" s="15" t="str">
        <x:v>Accesorios</x:v>
      </x:c>
      <x:c r="D258" s="15" t="str">
        <x:v>Tienda</x:v>
      </x:c>
      <x:c r="E258" s="15" t="n">
        <x:v>2</x:v>
      </x:c>
      <x:c r="F258" s="15" t="n">
        <x:v>0</x:v>
      </x:c>
      <x:c r="G258" s="19" t="n">
        <x:v>30</x:v>
      </x:c>
      <x:c r="H258" s="19" t="n">
        <x:v>9</x:v>
      </x:c>
      <x:c r="I258" s="17" t="n">
        <x:v>0.3</x:v>
      </x:c>
      <x:c r="J258" s="19" t="n">
        <x:v>2</x:v>
      </x:c>
      <x:c r="K258" s="19" t="n">
        <x:f>E258*G258</x:f>
        <x:v>60</x:v>
      </x:c>
      <x:c r="L258" s="19" t="n">
        <x:f>K258*I258</x:f>
        <x:v>18</x:v>
      </x:c>
      <x:c r="M258" s="19" t="n">
        <x:f>(E258-F258)*G258*(1-I258)</x:f>
        <x:v>42</x:v>
      </x:c>
      <x:c r="N258" s="19" t="n">
        <x:f>(E258-F258)*H258</x:f>
        <x:v>18</x:v>
      </x:c>
      <x:c r="O258" s="19" t="n">
        <x:f>F258*J258</x:f>
        <x:v>0</x:v>
      </x:c>
      <x:c r="P258" s="19" t="n">
        <x:f>M258-N258-O258</x:f>
        <x:v>24</x:v>
      </x:c>
    </x:row>
    <x:row r="259">
      <x:c r="A259" s="15" t="str">
        <x:v>SIM-0255</x:v>
      </x:c>
      <x:c r="B259" s="15" t="str">
        <x:v>2026-02</x:v>
      </x:c>
      <x:c r="C259" s="15" t="str">
        <x:v>Calzado</x:v>
      </x:c>
      <x:c r="D259" s="15" t="str">
        <x:v>Tienda</x:v>
      </x:c>
      <x:c r="E259" s="15" t="n">
        <x:v>1</x:v>
      </x:c>
      <x:c r="F259" s="15" t="n">
        <x:v>0</x:v>
      </x:c>
      <x:c r="G259" s="19" t="n">
        <x:v>90</x:v>
      </x:c>
      <x:c r="H259" s="19" t="n">
        <x:v>42</x:v>
      </x:c>
      <x:c r="I259" s="17" t="n">
        <x:v>0.1</x:v>
      </x:c>
      <x:c r="J259" s="19" t="n">
        <x:v>2</x:v>
      </x:c>
      <x:c r="K259" s="19" t="n">
        <x:f>E259*G259</x:f>
        <x:v>90</x:v>
      </x:c>
      <x:c r="L259" s="19" t="n">
        <x:f>K259*I259</x:f>
        <x:v>9</x:v>
      </x:c>
      <x:c r="M259" s="19" t="n">
        <x:f>(E259-F259)*G259*(1-I259)</x:f>
        <x:v>81</x:v>
      </x:c>
      <x:c r="N259" s="19" t="n">
        <x:f>(E259-F259)*H259</x:f>
        <x:v>42</x:v>
      </x:c>
      <x:c r="O259" s="19" t="n">
        <x:f>F259*J259</x:f>
        <x:v>0</x:v>
      </x:c>
      <x:c r="P259" s="19" t="n">
        <x:f>M259-N259-O259</x:f>
        <x:v>39</x:v>
      </x:c>
    </x:row>
    <x:row r="260">
      <x:c r="A260" s="15" t="str">
        <x:v>SIM-0256</x:v>
      </x:c>
      <x:c r="B260" s="15" t="str">
        <x:v>2026-02</x:v>
      </x:c>
      <x:c r="C260" s="15" t="str">
        <x:v>Prendas</x:v>
      </x:c>
      <x:c r="D260" s="15" t="str">
        <x:v>Online</x:v>
      </x:c>
      <x:c r="E260" s="15" t="n">
        <x:v>2</x:v>
      </x:c>
      <x:c r="F260" s="15" t="n">
        <x:v>0</x:v>
      </x:c>
      <x:c r="G260" s="19" t="n">
        <x:v>60</x:v>
      </x:c>
      <x:c r="H260" s="19" t="n">
        <x:v>24</x:v>
      </x:c>
      <x:c r="I260" s="17" t="n">
        <x:v>0</x:v>
      </x:c>
      <x:c r="J260" s="19" t="n">
        <x:v>6</x:v>
      </x:c>
      <x:c r="K260" s="19" t="n">
        <x:f>E260*G260</x:f>
        <x:v>120</x:v>
      </x:c>
      <x:c r="L260" s="19" t="n">
        <x:f>K260*I260</x:f>
        <x:v>0</x:v>
      </x:c>
      <x:c r="M260" s="19" t="n">
        <x:f>(E260-F260)*G260*(1-I260)</x:f>
        <x:v>120</x:v>
      </x:c>
      <x:c r="N260" s="19" t="n">
        <x:f>(E260-F260)*H260</x:f>
        <x:v>48</x:v>
      </x:c>
      <x:c r="O260" s="19" t="n">
        <x:f>F260*J260</x:f>
        <x:v>0</x:v>
      </x:c>
      <x:c r="P260" s="19" t="n">
        <x:f>M260-N260-O260</x:f>
        <x:v>72</x:v>
      </x:c>
    </x:row>
    <x:row r="261">
      <x:c r="A261" s="15" t="str">
        <x:v>SIM-0257</x:v>
      </x:c>
      <x:c r="B261" s="15" t="str">
        <x:v>2026-02</x:v>
      </x:c>
      <x:c r="C261" s="15" t="str">
        <x:v>Accesorios</x:v>
      </x:c>
      <x:c r="D261" s="15" t="str">
        <x:v>Tienda</x:v>
      </x:c>
      <x:c r="E261" s="15" t="n">
        <x:v>1</x:v>
      </x:c>
      <x:c r="F261" s="15" t="n">
        <x:v>0</x:v>
      </x:c>
      <x:c r="G261" s="19" t="n">
        <x:v>30</x:v>
      </x:c>
      <x:c r="H261" s="19" t="n">
        <x:v>9</x:v>
      </x:c>
      <x:c r="I261" s="17" t="n">
        <x:v>0.2</x:v>
      </x:c>
      <x:c r="J261" s="19" t="n">
        <x:v>2</x:v>
      </x:c>
      <x:c r="K261" s="19" t="n">
        <x:f>E261*G261</x:f>
        <x:v>30</x:v>
      </x:c>
      <x:c r="L261" s="19" t="n">
        <x:f>K261*I261</x:f>
        <x:v>6</x:v>
      </x:c>
      <x:c r="M261" s="19" t="n">
        <x:f>(E261-F261)*G261*(1-I261)</x:f>
        <x:v>24</x:v>
      </x:c>
      <x:c r="N261" s="19" t="n">
        <x:f>(E261-F261)*H261</x:f>
        <x:v>9</x:v>
      </x:c>
      <x:c r="O261" s="19" t="n">
        <x:f>F261*J261</x:f>
        <x:v>0</x:v>
      </x:c>
      <x:c r="P261" s="19" t="n">
        <x:f>M261-N261-O261</x:f>
        <x:v>15</x:v>
      </x:c>
    </x:row>
    <x:row r="262">
      <x:c r="A262" s="15" t="str">
        <x:v>SIM-0258</x:v>
      </x:c>
      <x:c r="B262" s="15" t="str">
        <x:v>2026-02</x:v>
      </x:c>
      <x:c r="C262" s="15" t="str">
        <x:v>Accesorios</x:v>
      </x:c>
      <x:c r="D262" s="15" t="str">
        <x:v>Tienda</x:v>
      </x:c>
      <x:c r="E262" s="15" t="n">
        <x:v>1</x:v>
      </x:c>
      <x:c r="F262" s="15" t="n">
        <x:v>0</x:v>
      </x:c>
      <x:c r="G262" s="19" t="n">
        <x:v>30</x:v>
      </x:c>
      <x:c r="H262" s="19" t="n">
        <x:v>9</x:v>
      </x:c>
      <x:c r="I262" s="17" t="n">
        <x:v>0</x:v>
      </x:c>
      <x:c r="J262" s="19" t="n">
        <x:v>2</x:v>
      </x:c>
      <x:c r="K262" s="19" t="n">
        <x:f>E262*G262</x:f>
        <x:v>30</x:v>
      </x:c>
      <x:c r="L262" s="19" t="n">
        <x:f>K262*I262</x:f>
        <x:v>0</x:v>
      </x:c>
      <x:c r="M262" s="19" t="n">
        <x:f>(E262-F262)*G262*(1-I262)</x:f>
        <x:v>30</x:v>
      </x:c>
      <x:c r="N262" s="19" t="n">
        <x:f>(E262-F262)*H262</x:f>
        <x:v>9</x:v>
      </x:c>
      <x:c r="O262" s="19" t="n">
        <x:f>F262*J262</x:f>
        <x:v>0</x:v>
      </x:c>
      <x:c r="P262" s="19" t="n">
        <x:f>M262-N262-O262</x:f>
        <x:v>21</x:v>
      </x:c>
    </x:row>
    <x:row r="263">
      <x:c r="A263" s="15" t="str">
        <x:v>SIM-0259</x:v>
      </x:c>
      <x:c r="B263" s="15" t="str">
        <x:v>2026-02</x:v>
      </x:c>
      <x:c r="C263" s="15" t="str">
        <x:v>Prendas</x:v>
      </x:c>
      <x:c r="D263" s="15" t="str">
        <x:v>Online</x:v>
      </x:c>
      <x:c r="E263" s="15" t="n">
        <x:v>3</x:v>
      </x:c>
      <x:c r="F263" s="15" t="n">
        <x:v>0</x:v>
      </x:c>
      <x:c r="G263" s="19" t="n">
        <x:v>60</x:v>
      </x:c>
      <x:c r="H263" s="19" t="n">
        <x:v>24</x:v>
      </x:c>
      <x:c r="I263" s="17" t="n">
        <x:v>0.2</x:v>
      </x:c>
      <x:c r="J263" s="19" t="n">
        <x:v>6</x:v>
      </x:c>
      <x:c r="K263" s="19" t="n">
        <x:f>E263*G263</x:f>
        <x:v>180</x:v>
      </x:c>
      <x:c r="L263" s="19" t="n">
        <x:f>K263*I263</x:f>
        <x:v>36</x:v>
      </x:c>
      <x:c r="M263" s="19" t="n">
        <x:f>(E263-F263)*G263*(1-I263)</x:f>
        <x:v>144</x:v>
      </x:c>
      <x:c r="N263" s="19" t="n">
        <x:f>(E263-F263)*H263</x:f>
        <x:v>72</x:v>
      </x:c>
      <x:c r="O263" s="19" t="n">
        <x:f>F263*J263</x:f>
        <x:v>0</x:v>
      </x:c>
      <x:c r="P263" s="19" t="n">
        <x:f>M263-N263-O263</x:f>
        <x:v>72</x:v>
      </x:c>
    </x:row>
    <x:row r="264">
      <x:c r="A264" s="15" t="str">
        <x:v>SIM-0260</x:v>
      </x:c>
      <x:c r="B264" s="15" t="str">
        <x:v>2026-02</x:v>
      </x:c>
      <x:c r="C264" s="15" t="str">
        <x:v>Calzado</x:v>
      </x:c>
      <x:c r="D264" s="15" t="str">
        <x:v>Tienda</x:v>
      </x:c>
      <x:c r="E264" s="15" t="n">
        <x:v>1</x:v>
      </x:c>
      <x:c r="F264" s="15" t="n">
        <x:v>0</x:v>
      </x:c>
      <x:c r="G264" s="19" t="n">
        <x:v>90</x:v>
      </x:c>
      <x:c r="H264" s="19" t="n">
        <x:v>42</x:v>
      </x:c>
      <x:c r="I264" s="17" t="n">
        <x:v>0.1</x:v>
      </x:c>
      <x:c r="J264" s="19" t="n">
        <x:v>2</x:v>
      </x:c>
      <x:c r="K264" s="19" t="n">
        <x:f>E264*G264</x:f>
        <x:v>90</x:v>
      </x:c>
      <x:c r="L264" s="19" t="n">
        <x:f>K264*I264</x:f>
        <x:v>9</x:v>
      </x:c>
      <x:c r="M264" s="19" t="n">
        <x:f>(E264-F264)*G264*(1-I264)</x:f>
        <x:v>81</x:v>
      </x:c>
      <x:c r="N264" s="19" t="n">
        <x:f>(E264-F264)*H264</x:f>
        <x:v>42</x:v>
      </x:c>
      <x:c r="O264" s="19" t="n">
        <x:f>F264*J264</x:f>
        <x:v>0</x:v>
      </x:c>
      <x:c r="P264" s="19" t="n">
        <x:f>M264-N264-O264</x:f>
        <x:v>39</x:v>
      </x:c>
    </x:row>
    <x:row r="265">
      <x:c r="A265" s="15" t="str">
        <x:v>SIM-0261</x:v>
      </x:c>
      <x:c r="B265" s="15" t="str">
        <x:v>2026-02</x:v>
      </x:c>
      <x:c r="C265" s="15" t="str">
        <x:v>Prendas</x:v>
      </x:c>
      <x:c r="D265" s="15" t="str">
        <x:v>Online</x:v>
      </x:c>
      <x:c r="E265" s="15" t="n">
        <x:v>1</x:v>
      </x:c>
      <x:c r="F265" s="15" t="n">
        <x:v>0</x:v>
      </x:c>
      <x:c r="G265" s="19" t="n">
        <x:v>60</x:v>
      </x:c>
      <x:c r="H265" s="19" t="n">
        <x:v>24</x:v>
      </x:c>
      <x:c r="I265" s="17" t="n">
        <x:v>0.1</x:v>
      </x:c>
      <x:c r="J265" s="19" t="n">
        <x:v>6</x:v>
      </x:c>
      <x:c r="K265" s="19" t="n">
        <x:f>E265*G265</x:f>
        <x:v>60</x:v>
      </x:c>
      <x:c r="L265" s="19" t="n">
        <x:f>K265*I265</x:f>
        <x:v>6</x:v>
      </x:c>
      <x:c r="M265" s="19" t="n">
        <x:f>(E265-F265)*G265*(1-I265)</x:f>
        <x:v>54</x:v>
      </x:c>
      <x:c r="N265" s="19" t="n">
        <x:f>(E265-F265)*H265</x:f>
        <x:v>24</x:v>
      </x:c>
      <x:c r="O265" s="19" t="n">
        <x:f>F265*J265</x:f>
        <x:v>0</x:v>
      </x:c>
      <x:c r="P265" s="19" t="n">
        <x:f>M265-N265-O265</x:f>
        <x:v>30</x:v>
      </x:c>
    </x:row>
    <x:row r="266">
      <x:c r="A266" s="15" t="str">
        <x:v>SIM-0262</x:v>
      </x:c>
      <x:c r="B266" s="15" t="str">
        <x:v>2026-02</x:v>
      </x:c>
      <x:c r="C266" s="15" t="str">
        <x:v>Prendas</x:v>
      </x:c>
      <x:c r="D266" s="15" t="str">
        <x:v>Online</x:v>
      </x:c>
      <x:c r="E266" s="15" t="n">
        <x:v>1</x:v>
      </x:c>
      <x:c r="F266" s="15" t="n">
        <x:v>0</x:v>
      </x:c>
      <x:c r="G266" s="19" t="n">
        <x:v>60</x:v>
      </x:c>
      <x:c r="H266" s="19" t="n">
        <x:v>24</x:v>
      </x:c>
      <x:c r="I266" s="17" t="n">
        <x:v>0.3</x:v>
      </x:c>
      <x:c r="J266" s="19" t="n">
        <x:v>6</x:v>
      </x:c>
      <x:c r="K266" s="19" t="n">
        <x:f>E266*G266</x:f>
        <x:v>60</x:v>
      </x:c>
      <x:c r="L266" s="19" t="n">
        <x:f>K266*I266</x:f>
        <x:v>18</x:v>
      </x:c>
      <x:c r="M266" s="19" t="n">
        <x:f>(E266-F266)*G266*(1-I266)</x:f>
        <x:v>42</x:v>
      </x:c>
      <x:c r="N266" s="19" t="n">
        <x:f>(E266-F266)*H266</x:f>
        <x:v>24</x:v>
      </x:c>
      <x:c r="O266" s="19" t="n">
        <x:f>F266*J266</x:f>
        <x:v>0</x:v>
      </x:c>
      <x:c r="P266" s="19" t="n">
        <x:f>M266-N266-O266</x:f>
        <x:v>18</x:v>
      </x:c>
    </x:row>
    <x:row r="267">
      <x:c r="A267" s="15" t="str">
        <x:v>SIM-0263</x:v>
      </x:c>
      <x:c r="B267" s="15" t="str">
        <x:v>2026-02</x:v>
      </x:c>
      <x:c r="C267" s="15" t="str">
        <x:v>Prendas</x:v>
      </x:c>
      <x:c r="D267" s="15" t="str">
        <x:v>Tienda</x:v>
      </x:c>
      <x:c r="E267" s="15" t="n">
        <x:v>2</x:v>
      </x:c>
      <x:c r="F267" s="15" t="n">
        <x:v>0</x:v>
      </x:c>
      <x:c r="G267" s="19" t="n">
        <x:v>60</x:v>
      </x:c>
      <x:c r="H267" s="19" t="n">
        <x:v>24</x:v>
      </x:c>
      <x:c r="I267" s="17" t="n">
        <x:v>0.1</x:v>
      </x:c>
      <x:c r="J267" s="19" t="n">
        <x:v>2</x:v>
      </x:c>
      <x:c r="K267" s="19" t="n">
        <x:f>E267*G267</x:f>
        <x:v>120</x:v>
      </x:c>
      <x:c r="L267" s="19" t="n">
        <x:f>K267*I267</x:f>
        <x:v>12</x:v>
      </x:c>
      <x:c r="M267" s="19" t="n">
        <x:f>(E267-F267)*G267*(1-I267)</x:f>
        <x:v>108</x:v>
      </x:c>
      <x:c r="N267" s="19" t="n">
        <x:f>(E267-F267)*H267</x:f>
        <x:v>48</x:v>
      </x:c>
      <x:c r="O267" s="19" t="n">
        <x:f>F267*J267</x:f>
        <x:v>0</x:v>
      </x:c>
      <x:c r="P267" s="19" t="n">
        <x:f>M267-N267-O267</x:f>
        <x:v>60</x:v>
      </x:c>
    </x:row>
    <x:row r="268">
      <x:c r="A268" s="15" t="str">
        <x:v>SIM-0264</x:v>
      </x:c>
      <x:c r="B268" s="15" t="str">
        <x:v>2026-02</x:v>
      </x:c>
      <x:c r="C268" s="15" t="str">
        <x:v>Prendas</x:v>
      </x:c>
      <x:c r="D268" s="15" t="str">
        <x:v>Online</x:v>
      </x:c>
      <x:c r="E268" s="15" t="n">
        <x:v>1</x:v>
      </x:c>
      <x:c r="F268" s="15" t="n">
        <x:v>0</x:v>
      </x:c>
      <x:c r="G268" s="19" t="n">
        <x:v>60</x:v>
      </x:c>
      <x:c r="H268" s="19" t="n">
        <x:v>24</x:v>
      </x:c>
      <x:c r="I268" s="17" t="n">
        <x:v>0.3</x:v>
      </x:c>
      <x:c r="J268" s="19" t="n">
        <x:v>6</x:v>
      </x:c>
      <x:c r="K268" s="19" t="n">
        <x:f>E268*G268</x:f>
        <x:v>60</x:v>
      </x:c>
      <x:c r="L268" s="19" t="n">
        <x:f>K268*I268</x:f>
        <x:v>18</x:v>
      </x:c>
      <x:c r="M268" s="19" t="n">
        <x:f>(E268-F268)*G268*(1-I268)</x:f>
        <x:v>42</x:v>
      </x:c>
      <x:c r="N268" s="19" t="n">
        <x:f>(E268-F268)*H268</x:f>
        <x:v>24</x:v>
      </x:c>
      <x:c r="O268" s="19" t="n">
        <x:f>F268*J268</x:f>
        <x:v>0</x:v>
      </x:c>
      <x:c r="P268" s="19" t="n">
        <x:f>M268-N268-O268</x:f>
        <x:v>18</x:v>
      </x:c>
    </x:row>
    <x:row r="269">
      <x:c r="A269" s="15" t="str">
        <x:v>SIM-0265</x:v>
      </x:c>
      <x:c r="B269" s="15" t="str">
        <x:v>2026-02</x:v>
      </x:c>
      <x:c r="C269" s="15" t="str">
        <x:v>Prendas</x:v>
      </x:c>
      <x:c r="D269" s="15" t="str">
        <x:v>Online</x:v>
      </x:c>
      <x:c r="E269" s="15" t="n">
        <x:v>1</x:v>
      </x:c>
      <x:c r="F269" s="15" t="n">
        <x:v>0</x:v>
      </x:c>
      <x:c r="G269" s="19" t="n">
        <x:v>60</x:v>
      </x:c>
      <x:c r="H269" s="19" t="n">
        <x:v>24</x:v>
      </x:c>
      <x:c r="I269" s="17" t="n">
        <x:v>0.2</x:v>
      </x:c>
      <x:c r="J269" s="19" t="n">
        <x:v>6</x:v>
      </x:c>
      <x:c r="K269" s="19" t="n">
        <x:f>E269*G269</x:f>
        <x:v>60</x:v>
      </x:c>
      <x:c r="L269" s="19" t="n">
        <x:f>K269*I269</x:f>
        <x:v>12</x:v>
      </x:c>
      <x:c r="M269" s="19" t="n">
        <x:f>(E269-F269)*G269*(1-I269)</x:f>
        <x:v>48</x:v>
      </x:c>
      <x:c r="N269" s="19" t="n">
        <x:f>(E269-F269)*H269</x:f>
        <x:v>24</x:v>
      </x:c>
      <x:c r="O269" s="19" t="n">
        <x:f>F269*J269</x:f>
        <x:v>0</x:v>
      </x:c>
      <x:c r="P269" s="19" t="n">
        <x:f>M269-N269-O269</x:f>
        <x:v>24</x:v>
      </x:c>
    </x:row>
    <x:row r="270">
      <x:c r="A270" s="15" t="str">
        <x:v>SIM-0266</x:v>
      </x:c>
      <x:c r="B270" s="15" t="str">
        <x:v>2026-02</x:v>
      </x:c>
      <x:c r="C270" s="15" t="str">
        <x:v>Prendas</x:v>
      </x:c>
      <x:c r="D270" s="15" t="str">
        <x:v>Tienda</x:v>
      </x:c>
      <x:c r="E270" s="15" t="n">
        <x:v>2</x:v>
      </x:c>
      <x:c r="F270" s="15" t="n">
        <x:v>0</x:v>
      </x:c>
      <x:c r="G270" s="19" t="n">
        <x:v>60</x:v>
      </x:c>
      <x:c r="H270" s="19" t="n">
        <x:v>24</x:v>
      </x:c>
      <x:c r="I270" s="17" t="n">
        <x:v>0.2</x:v>
      </x:c>
      <x:c r="J270" s="19" t="n">
        <x:v>2</x:v>
      </x:c>
      <x:c r="K270" s="19" t="n">
        <x:f>E270*G270</x:f>
        <x:v>120</x:v>
      </x:c>
      <x:c r="L270" s="19" t="n">
        <x:f>K270*I270</x:f>
        <x:v>24</x:v>
      </x:c>
      <x:c r="M270" s="19" t="n">
        <x:f>(E270-F270)*G270*(1-I270)</x:f>
        <x:v>96</x:v>
      </x:c>
      <x:c r="N270" s="19" t="n">
        <x:f>(E270-F270)*H270</x:f>
        <x:v>48</x:v>
      </x:c>
      <x:c r="O270" s="19" t="n">
        <x:f>F270*J270</x:f>
        <x:v>0</x:v>
      </x:c>
      <x:c r="P270" s="19" t="n">
        <x:f>M270-N270-O270</x:f>
        <x:v>48</x:v>
      </x:c>
    </x:row>
    <x:row r="271">
      <x:c r="A271" s="15" t="str">
        <x:v>SIM-0267</x:v>
      </x:c>
      <x:c r="B271" s="15" t="str">
        <x:v>2026-02</x:v>
      </x:c>
      <x:c r="C271" s="15" t="str">
        <x:v>Prendas</x:v>
      </x:c>
      <x:c r="D271" s="15" t="str">
        <x:v>Online</x:v>
      </x:c>
      <x:c r="E271" s="15" t="n">
        <x:v>1</x:v>
      </x:c>
      <x:c r="F271" s="15" t="n">
        <x:v>0</x:v>
      </x:c>
      <x:c r="G271" s="19" t="n">
        <x:v>60</x:v>
      </x:c>
      <x:c r="H271" s="19" t="n">
        <x:v>24</x:v>
      </x:c>
      <x:c r="I271" s="17" t="n">
        <x:v>0.1</x:v>
      </x:c>
      <x:c r="J271" s="19" t="n">
        <x:v>6</x:v>
      </x:c>
      <x:c r="K271" s="19" t="n">
        <x:f>E271*G271</x:f>
        <x:v>60</x:v>
      </x:c>
      <x:c r="L271" s="19" t="n">
        <x:f>K271*I271</x:f>
        <x:v>6</x:v>
      </x:c>
      <x:c r="M271" s="19" t="n">
        <x:f>(E271-F271)*G271*(1-I271)</x:f>
        <x:v>54</x:v>
      </x:c>
      <x:c r="N271" s="19" t="n">
        <x:f>(E271-F271)*H271</x:f>
        <x:v>24</x:v>
      </x:c>
      <x:c r="O271" s="19" t="n">
        <x:f>F271*J271</x:f>
        <x:v>0</x:v>
      </x:c>
      <x:c r="P271" s="19" t="n">
        <x:f>M271-N271-O271</x:f>
        <x:v>30</x:v>
      </x:c>
    </x:row>
    <x:row r="272">
      <x:c r="A272" s="15" t="str">
        <x:v>SIM-0268</x:v>
      </x:c>
      <x:c r="B272" s="15" t="str">
        <x:v>2026-02</x:v>
      </x:c>
      <x:c r="C272" s="15" t="str">
        <x:v>Prendas</x:v>
      </x:c>
      <x:c r="D272" s="15" t="str">
        <x:v>Tienda</x:v>
      </x:c>
      <x:c r="E272" s="15" t="n">
        <x:v>2</x:v>
      </x:c>
      <x:c r="F272" s="15" t="n">
        <x:v>0</x:v>
      </x:c>
      <x:c r="G272" s="19" t="n">
        <x:v>60</x:v>
      </x:c>
      <x:c r="H272" s="19" t="n">
        <x:v>24</x:v>
      </x:c>
      <x:c r="I272" s="17" t="n">
        <x:v>0.2</x:v>
      </x:c>
      <x:c r="J272" s="19" t="n">
        <x:v>2</x:v>
      </x:c>
      <x:c r="K272" s="19" t="n">
        <x:f>E272*G272</x:f>
        <x:v>120</x:v>
      </x:c>
      <x:c r="L272" s="19" t="n">
        <x:f>K272*I272</x:f>
        <x:v>24</x:v>
      </x:c>
      <x:c r="M272" s="19" t="n">
        <x:f>(E272-F272)*G272*(1-I272)</x:f>
        <x:v>96</x:v>
      </x:c>
      <x:c r="N272" s="19" t="n">
        <x:f>(E272-F272)*H272</x:f>
        <x:v>48</x:v>
      </x:c>
      <x:c r="O272" s="19" t="n">
        <x:f>F272*J272</x:f>
        <x:v>0</x:v>
      </x:c>
      <x:c r="P272" s="19" t="n">
        <x:f>M272-N272-O272</x:f>
        <x:v>48</x:v>
      </x:c>
    </x:row>
    <x:row r="273">
      <x:c r="A273" s="15" t="str">
        <x:v>SIM-0269</x:v>
      </x:c>
      <x:c r="B273" s="15" t="str">
        <x:v>2026-02</x:v>
      </x:c>
      <x:c r="C273" s="15" t="str">
        <x:v>Prendas</x:v>
      </x:c>
      <x:c r="D273" s="15" t="str">
        <x:v>Tienda</x:v>
      </x:c>
      <x:c r="E273" s="15" t="n">
        <x:v>3</x:v>
      </x:c>
      <x:c r="F273" s="15" t="n">
        <x:v>0</x:v>
      </x:c>
      <x:c r="G273" s="19" t="n">
        <x:v>60</x:v>
      </x:c>
      <x:c r="H273" s="19" t="n">
        <x:v>24</x:v>
      </x:c>
      <x:c r="I273" s="17" t="n">
        <x:v>0.3</x:v>
      </x:c>
      <x:c r="J273" s="19" t="n">
        <x:v>2</x:v>
      </x:c>
      <x:c r="K273" s="19" t="n">
        <x:f>E273*G273</x:f>
        <x:v>180</x:v>
      </x:c>
      <x:c r="L273" s="19" t="n">
        <x:f>K273*I273</x:f>
        <x:v>54</x:v>
      </x:c>
      <x:c r="M273" s="19" t="n">
        <x:f>(E273-F273)*G273*(1-I273)</x:f>
        <x:v>125.99999999999999</x:v>
      </x:c>
      <x:c r="N273" s="19" t="n">
        <x:f>(E273-F273)*H273</x:f>
        <x:v>72</x:v>
      </x:c>
      <x:c r="O273" s="19" t="n">
        <x:f>F273*J273</x:f>
        <x:v>0</x:v>
      </x:c>
      <x:c r="P273" s="19" t="n">
        <x:f>M273-N273-O273</x:f>
        <x:v>53.999999999999986</x:v>
      </x:c>
    </x:row>
    <x:row r="274">
      <x:c r="A274" s="15" t="str">
        <x:v>SIM-0270</x:v>
      </x:c>
      <x:c r="B274" s="15" t="str">
        <x:v>2026-02</x:v>
      </x:c>
      <x:c r="C274" s="15" t="str">
        <x:v>Prendas</x:v>
      </x:c>
      <x:c r="D274" s="15" t="str">
        <x:v>Online</x:v>
      </x:c>
      <x:c r="E274" s="15" t="n">
        <x:v>2</x:v>
      </x:c>
      <x:c r="F274" s="15" t="n">
        <x:v>0</x:v>
      </x:c>
      <x:c r="G274" s="19" t="n">
        <x:v>60</x:v>
      </x:c>
      <x:c r="H274" s="19" t="n">
        <x:v>24</x:v>
      </x:c>
      <x:c r="I274" s="17" t="n">
        <x:v>0</x:v>
      </x:c>
      <x:c r="J274" s="19" t="n">
        <x:v>6</x:v>
      </x:c>
      <x:c r="K274" s="19" t="n">
        <x:f>E274*G274</x:f>
        <x:v>120</x:v>
      </x:c>
      <x:c r="L274" s="19" t="n">
        <x:f>K274*I274</x:f>
        <x:v>0</x:v>
      </x:c>
      <x:c r="M274" s="19" t="n">
        <x:f>(E274-F274)*G274*(1-I274)</x:f>
        <x:v>120</x:v>
      </x:c>
      <x:c r="N274" s="19" t="n">
        <x:f>(E274-F274)*H274</x:f>
        <x:v>48</x:v>
      </x:c>
      <x:c r="O274" s="19" t="n">
        <x:f>F274*J274</x:f>
        <x:v>0</x:v>
      </x:c>
      <x:c r="P274" s="19" t="n">
        <x:f>M274-N274-O274</x:f>
        <x:v>72</x:v>
      </x:c>
    </x:row>
    <x:row r="275">
      <x:c r="A275" s="15" t="str">
        <x:v>SIM-0271</x:v>
      </x:c>
      <x:c r="B275" s="15" t="str">
        <x:v>2026-02</x:v>
      </x:c>
      <x:c r="C275" s="15" t="str">
        <x:v>Calzado</x:v>
      </x:c>
      <x:c r="D275" s="15" t="str">
        <x:v>Tienda</x:v>
      </x:c>
      <x:c r="E275" s="15" t="n">
        <x:v>1</x:v>
      </x:c>
      <x:c r="F275" s="15" t="n">
        <x:v>0</x:v>
      </x:c>
      <x:c r="G275" s="19" t="n">
        <x:v>90</x:v>
      </x:c>
      <x:c r="H275" s="19" t="n">
        <x:v>42</x:v>
      </x:c>
      <x:c r="I275" s="17" t="n">
        <x:v>0.1</x:v>
      </x:c>
      <x:c r="J275" s="19" t="n">
        <x:v>2</x:v>
      </x:c>
      <x:c r="K275" s="19" t="n">
        <x:f>E275*G275</x:f>
        <x:v>90</x:v>
      </x:c>
      <x:c r="L275" s="19" t="n">
        <x:f>K275*I275</x:f>
        <x:v>9</x:v>
      </x:c>
      <x:c r="M275" s="19" t="n">
        <x:f>(E275-F275)*G275*(1-I275)</x:f>
        <x:v>81</x:v>
      </x:c>
      <x:c r="N275" s="19" t="n">
        <x:f>(E275-F275)*H275</x:f>
        <x:v>42</x:v>
      </x:c>
      <x:c r="O275" s="19" t="n">
        <x:f>F275*J275</x:f>
        <x:v>0</x:v>
      </x:c>
      <x:c r="P275" s="19" t="n">
        <x:f>M275-N275-O275</x:f>
        <x:v>39</x:v>
      </x:c>
    </x:row>
    <x:row r="276">
      <x:c r="A276" s="15" t="str">
        <x:v>SIM-0272</x:v>
      </x:c>
      <x:c r="B276" s="15" t="str">
        <x:v>2026-02</x:v>
      </x:c>
      <x:c r="C276" s="15" t="str">
        <x:v>Prendas</x:v>
      </x:c>
      <x:c r="D276" s="15" t="str">
        <x:v>Tienda</x:v>
      </x:c>
      <x:c r="E276" s="15" t="n">
        <x:v>2</x:v>
      </x:c>
      <x:c r="F276" s="15" t="n">
        <x:v>0</x:v>
      </x:c>
      <x:c r="G276" s="19" t="n">
        <x:v>60</x:v>
      </x:c>
      <x:c r="H276" s="19" t="n">
        <x:v>24</x:v>
      </x:c>
      <x:c r="I276" s="17" t="n">
        <x:v>0.1</x:v>
      </x:c>
      <x:c r="J276" s="19" t="n">
        <x:v>2</x:v>
      </x:c>
      <x:c r="K276" s="19" t="n">
        <x:f>E276*G276</x:f>
        <x:v>120</x:v>
      </x:c>
      <x:c r="L276" s="19" t="n">
        <x:f>K276*I276</x:f>
        <x:v>12</x:v>
      </x:c>
      <x:c r="M276" s="19" t="n">
        <x:f>(E276-F276)*G276*(1-I276)</x:f>
        <x:v>108</x:v>
      </x:c>
      <x:c r="N276" s="19" t="n">
        <x:f>(E276-F276)*H276</x:f>
        <x:v>48</x:v>
      </x:c>
      <x:c r="O276" s="19" t="n">
        <x:f>F276*J276</x:f>
        <x:v>0</x:v>
      </x:c>
      <x:c r="P276" s="19" t="n">
        <x:f>M276-N276-O276</x:f>
        <x:v>60</x:v>
      </x:c>
    </x:row>
    <x:row r="277">
      <x:c r="A277" s="15" t="str">
        <x:v>SIM-0273</x:v>
      </x:c>
      <x:c r="B277" s="15" t="str">
        <x:v>2026-02</x:v>
      </x:c>
      <x:c r="C277" s="15" t="str">
        <x:v>Accesorios</x:v>
      </x:c>
      <x:c r="D277" s="15" t="str">
        <x:v>Tienda</x:v>
      </x:c>
      <x:c r="E277" s="15" t="n">
        <x:v>1</x:v>
      </x:c>
      <x:c r="F277" s="15" t="n">
        <x:v>0</x:v>
      </x:c>
      <x:c r="G277" s="19" t="n">
        <x:v>30</x:v>
      </x:c>
      <x:c r="H277" s="19" t="n">
        <x:v>9</x:v>
      </x:c>
      <x:c r="I277" s="17" t="n">
        <x:v>0.1</x:v>
      </x:c>
      <x:c r="J277" s="19" t="n">
        <x:v>2</x:v>
      </x:c>
      <x:c r="K277" s="19" t="n">
        <x:f>E277*G277</x:f>
        <x:v>30</x:v>
      </x:c>
      <x:c r="L277" s="19" t="n">
        <x:f>K277*I277</x:f>
        <x:v>3</x:v>
      </x:c>
      <x:c r="M277" s="19" t="n">
        <x:f>(E277-F277)*G277*(1-I277)</x:f>
        <x:v>27</x:v>
      </x:c>
      <x:c r="N277" s="19" t="n">
        <x:f>(E277-F277)*H277</x:f>
        <x:v>9</x:v>
      </x:c>
      <x:c r="O277" s="19" t="n">
        <x:f>F277*J277</x:f>
        <x:v>0</x:v>
      </x:c>
      <x:c r="P277" s="19" t="n">
        <x:f>M277-N277-O277</x:f>
        <x:v>18</x:v>
      </x:c>
    </x:row>
    <x:row r="278">
      <x:c r="A278" s="15" t="str">
        <x:v>SIM-0274</x:v>
      </x:c>
      <x:c r="B278" s="15" t="str">
        <x:v>2026-02</x:v>
      </x:c>
      <x:c r="C278" s="15" t="str">
        <x:v>Accesorios</x:v>
      </x:c>
      <x:c r="D278" s="15" t="str">
        <x:v>Online</x:v>
      </x:c>
      <x:c r="E278" s="15" t="n">
        <x:v>1</x:v>
      </x:c>
      <x:c r="F278" s="15" t="n">
        <x:v>0</x:v>
      </x:c>
      <x:c r="G278" s="19" t="n">
        <x:v>30</x:v>
      </x:c>
      <x:c r="H278" s="19" t="n">
        <x:v>9</x:v>
      </x:c>
      <x:c r="I278" s="17" t="n">
        <x:v>0</x:v>
      </x:c>
      <x:c r="J278" s="19" t="n">
        <x:v>6</x:v>
      </x:c>
      <x:c r="K278" s="19" t="n">
        <x:f>E278*G278</x:f>
        <x:v>30</x:v>
      </x:c>
      <x:c r="L278" s="19" t="n">
        <x:f>K278*I278</x:f>
        <x:v>0</x:v>
      </x:c>
      <x:c r="M278" s="19" t="n">
        <x:f>(E278-F278)*G278*(1-I278)</x:f>
        <x:v>30</x:v>
      </x:c>
      <x:c r="N278" s="19" t="n">
        <x:f>(E278-F278)*H278</x:f>
        <x:v>9</x:v>
      </x:c>
      <x:c r="O278" s="19" t="n">
        <x:f>F278*J278</x:f>
        <x:v>0</x:v>
      </x:c>
      <x:c r="P278" s="19" t="n">
        <x:f>M278-N278-O278</x:f>
        <x:v>21</x:v>
      </x:c>
    </x:row>
    <x:row r="279">
      <x:c r="A279" s="15" t="str">
        <x:v>SIM-0275</x:v>
      </x:c>
      <x:c r="B279" s="15" t="str">
        <x:v>2026-02</x:v>
      </x:c>
      <x:c r="C279" s="15" t="str">
        <x:v>Accesorios</x:v>
      </x:c>
      <x:c r="D279" s="15" t="str">
        <x:v>Online</x:v>
      </x:c>
      <x:c r="E279" s="15" t="n">
        <x:v>1</x:v>
      </x:c>
      <x:c r="F279" s="15" t="n">
        <x:v>0</x:v>
      </x:c>
      <x:c r="G279" s="19" t="n">
        <x:v>30</x:v>
      </x:c>
      <x:c r="H279" s="19" t="n">
        <x:v>9</x:v>
      </x:c>
      <x:c r="I279" s="17" t="n">
        <x:v>0.1</x:v>
      </x:c>
      <x:c r="J279" s="19" t="n">
        <x:v>6</x:v>
      </x:c>
      <x:c r="K279" s="19" t="n">
        <x:f>E279*G279</x:f>
        <x:v>30</x:v>
      </x:c>
      <x:c r="L279" s="19" t="n">
        <x:f>K279*I279</x:f>
        <x:v>3</x:v>
      </x:c>
      <x:c r="M279" s="19" t="n">
        <x:f>(E279-F279)*G279*(1-I279)</x:f>
        <x:v>27</x:v>
      </x:c>
      <x:c r="N279" s="19" t="n">
        <x:f>(E279-F279)*H279</x:f>
        <x:v>9</x:v>
      </x:c>
      <x:c r="O279" s="19" t="n">
        <x:f>F279*J279</x:f>
        <x:v>0</x:v>
      </x:c>
      <x:c r="P279" s="19" t="n">
        <x:f>M279-N279-O279</x:f>
        <x:v>18</x:v>
      </x:c>
    </x:row>
    <x:row r="280">
      <x:c r="A280" s="15" t="str">
        <x:v>SIM-0276</x:v>
      </x:c>
      <x:c r="B280" s="15" t="str">
        <x:v>2026-02</x:v>
      </x:c>
      <x:c r="C280" s="15" t="str">
        <x:v>Accesorios</x:v>
      </x:c>
      <x:c r="D280" s="15" t="str">
        <x:v>Tienda</x:v>
      </x:c>
      <x:c r="E280" s="15" t="n">
        <x:v>1</x:v>
      </x:c>
      <x:c r="F280" s="15" t="n">
        <x:v>0</x:v>
      </x:c>
      <x:c r="G280" s="19" t="n">
        <x:v>30</x:v>
      </x:c>
      <x:c r="H280" s="19" t="n">
        <x:v>9</x:v>
      </x:c>
      <x:c r="I280" s="17" t="n">
        <x:v>0.1</x:v>
      </x:c>
      <x:c r="J280" s="19" t="n">
        <x:v>2</x:v>
      </x:c>
      <x:c r="K280" s="19" t="n">
        <x:f>E280*G280</x:f>
        <x:v>30</x:v>
      </x:c>
      <x:c r="L280" s="19" t="n">
        <x:f>K280*I280</x:f>
        <x:v>3</x:v>
      </x:c>
      <x:c r="M280" s="19" t="n">
        <x:f>(E280-F280)*G280*(1-I280)</x:f>
        <x:v>27</x:v>
      </x:c>
      <x:c r="N280" s="19" t="n">
        <x:f>(E280-F280)*H280</x:f>
        <x:v>9</x:v>
      </x:c>
      <x:c r="O280" s="19" t="n">
        <x:f>F280*J280</x:f>
        <x:v>0</x:v>
      </x:c>
      <x:c r="P280" s="19" t="n">
        <x:f>M280-N280-O280</x:f>
        <x:v>18</x:v>
      </x:c>
    </x:row>
    <x:row r="281">
      <x:c r="A281" s="15" t="str">
        <x:v>SIM-0277</x:v>
      </x:c>
      <x:c r="B281" s="15" t="str">
        <x:v>2026-02</x:v>
      </x:c>
      <x:c r="C281" s="15" t="str">
        <x:v>Prendas</x:v>
      </x:c>
      <x:c r="D281" s="15" t="str">
        <x:v>Tienda</x:v>
      </x:c>
      <x:c r="E281" s="15" t="n">
        <x:v>1</x:v>
      </x:c>
      <x:c r="F281" s="15" t="n">
        <x:v>0</x:v>
      </x:c>
      <x:c r="G281" s="19" t="n">
        <x:v>60</x:v>
      </x:c>
      <x:c r="H281" s="19" t="n">
        <x:v>24</x:v>
      </x:c>
      <x:c r="I281" s="17" t="n">
        <x:v>0.1</x:v>
      </x:c>
      <x:c r="J281" s="19" t="n">
        <x:v>2</x:v>
      </x:c>
      <x:c r="K281" s="19" t="n">
        <x:f>E281*G281</x:f>
        <x:v>60</x:v>
      </x:c>
      <x:c r="L281" s="19" t="n">
        <x:f>K281*I281</x:f>
        <x:v>6</x:v>
      </x:c>
      <x:c r="M281" s="19" t="n">
        <x:f>(E281-F281)*G281*(1-I281)</x:f>
        <x:v>54</x:v>
      </x:c>
      <x:c r="N281" s="19" t="n">
        <x:f>(E281-F281)*H281</x:f>
        <x:v>24</x:v>
      </x:c>
      <x:c r="O281" s="19" t="n">
        <x:f>F281*J281</x:f>
        <x:v>0</x:v>
      </x:c>
      <x:c r="P281" s="19" t="n">
        <x:f>M281-N281-O281</x:f>
        <x:v>30</x:v>
      </x:c>
    </x:row>
    <x:row r="282">
      <x:c r="A282" s="15" t="str">
        <x:v>SIM-0278</x:v>
      </x:c>
      <x:c r="B282" s="15" t="str">
        <x:v>2026-02</x:v>
      </x:c>
      <x:c r="C282" s="15" t="str">
        <x:v>Prendas</x:v>
      </x:c>
      <x:c r="D282" s="15" t="str">
        <x:v>Tienda</x:v>
      </x:c>
      <x:c r="E282" s="15" t="n">
        <x:v>2</x:v>
      </x:c>
      <x:c r="F282" s="15" t="n">
        <x:v>0</x:v>
      </x:c>
      <x:c r="G282" s="19" t="n">
        <x:v>60</x:v>
      </x:c>
      <x:c r="H282" s="19" t="n">
        <x:v>24</x:v>
      </x:c>
      <x:c r="I282" s="17" t="n">
        <x:v>0</x:v>
      </x:c>
      <x:c r="J282" s="19" t="n">
        <x:v>2</x:v>
      </x:c>
      <x:c r="K282" s="19" t="n">
        <x:f>E282*G282</x:f>
        <x:v>120</x:v>
      </x:c>
      <x:c r="L282" s="19" t="n">
        <x:f>K282*I282</x:f>
        <x:v>0</x:v>
      </x:c>
      <x:c r="M282" s="19" t="n">
        <x:f>(E282-F282)*G282*(1-I282)</x:f>
        <x:v>120</x:v>
      </x:c>
      <x:c r="N282" s="19" t="n">
        <x:f>(E282-F282)*H282</x:f>
        <x:v>48</x:v>
      </x:c>
      <x:c r="O282" s="19" t="n">
        <x:f>F282*J282</x:f>
        <x:v>0</x:v>
      </x:c>
      <x:c r="P282" s="19" t="n">
        <x:f>M282-N282-O282</x:f>
        <x:v>72</x:v>
      </x:c>
    </x:row>
    <x:row r="283">
      <x:c r="A283" s="15" t="str">
        <x:v>SIM-0279</x:v>
      </x:c>
      <x:c r="B283" s="15" t="str">
        <x:v>2026-02</x:v>
      </x:c>
      <x:c r="C283" s="15" t="str">
        <x:v>Calzado</x:v>
      </x:c>
      <x:c r="D283" s="15" t="str">
        <x:v>Tienda</x:v>
      </x:c>
      <x:c r="E283" s="15" t="n">
        <x:v>1</x:v>
      </x:c>
      <x:c r="F283" s="15" t="n">
        <x:v>0</x:v>
      </x:c>
      <x:c r="G283" s="19" t="n">
        <x:v>90</x:v>
      </x:c>
      <x:c r="H283" s="19" t="n">
        <x:v>42</x:v>
      </x:c>
      <x:c r="I283" s="17" t="n">
        <x:v>0</x:v>
      </x:c>
      <x:c r="J283" s="19" t="n">
        <x:v>2</x:v>
      </x:c>
      <x:c r="K283" s="19" t="n">
        <x:f>E283*G283</x:f>
        <x:v>90</x:v>
      </x:c>
      <x:c r="L283" s="19" t="n">
        <x:f>K283*I283</x:f>
        <x:v>0</x:v>
      </x:c>
      <x:c r="M283" s="19" t="n">
        <x:f>(E283-F283)*G283*(1-I283)</x:f>
        <x:v>90</x:v>
      </x:c>
      <x:c r="N283" s="19" t="n">
        <x:f>(E283-F283)*H283</x:f>
        <x:v>42</x:v>
      </x:c>
      <x:c r="O283" s="19" t="n">
        <x:f>F283*J283</x:f>
        <x:v>0</x:v>
      </x:c>
      <x:c r="P283" s="19" t="n">
        <x:f>M283-N283-O283</x:f>
        <x:v>48</x:v>
      </x:c>
    </x:row>
    <x:row r="284">
      <x:c r="A284" s="15" t="str">
        <x:v>SIM-0280</x:v>
      </x:c>
      <x:c r="B284" s="15" t="str">
        <x:v>2026-02</x:v>
      </x:c>
      <x:c r="C284" s="15" t="str">
        <x:v>Calzado</x:v>
      </x:c>
      <x:c r="D284" s="15" t="str">
        <x:v>Online</x:v>
      </x:c>
      <x:c r="E284" s="15" t="n">
        <x:v>1</x:v>
      </x:c>
      <x:c r="F284" s="15" t="n">
        <x:v>0</x:v>
      </x:c>
      <x:c r="G284" s="19" t="n">
        <x:v>90</x:v>
      </x:c>
      <x:c r="H284" s="19" t="n">
        <x:v>42</x:v>
      </x:c>
      <x:c r="I284" s="17" t="n">
        <x:v>0</x:v>
      </x:c>
      <x:c r="J284" s="19" t="n">
        <x:v>6</x:v>
      </x:c>
      <x:c r="K284" s="19" t="n">
        <x:f>E284*G284</x:f>
        <x:v>90</x:v>
      </x:c>
      <x:c r="L284" s="19" t="n">
        <x:f>K284*I284</x:f>
        <x:v>0</x:v>
      </x:c>
      <x:c r="M284" s="19" t="n">
        <x:f>(E284-F284)*G284*(1-I284)</x:f>
        <x:v>90</x:v>
      </x:c>
      <x:c r="N284" s="19" t="n">
        <x:f>(E284-F284)*H284</x:f>
        <x:v>42</x:v>
      </x:c>
      <x:c r="O284" s="19" t="n">
        <x:f>F284*J284</x:f>
        <x:v>0</x:v>
      </x:c>
      <x:c r="P284" s="19" t="n">
        <x:f>M284-N284-O284</x:f>
        <x:v>48</x:v>
      </x:c>
    </x:row>
    <x:row r="285">
      <x:c r="A285" s="15" t="str">
        <x:v>SIM-0281</x:v>
      </x:c>
      <x:c r="B285" s="15" t="str">
        <x:v>2026-02</x:v>
      </x:c>
      <x:c r="C285" s="15" t="str">
        <x:v>Prendas</x:v>
      </x:c>
      <x:c r="D285" s="15" t="str">
        <x:v>Tienda</x:v>
      </x:c>
      <x:c r="E285" s="15" t="n">
        <x:v>1</x:v>
      </x:c>
      <x:c r="F285" s="15" t="n">
        <x:v>0</x:v>
      </x:c>
      <x:c r="G285" s="19" t="n">
        <x:v>60</x:v>
      </x:c>
      <x:c r="H285" s="19" t="n">
        <x:v>24</x:v>
      </x:c>
      <x:c r="I285" s="17" t="n">
        <x:v>0.1</x:v>
      </x:c>
      <x:c r="J285" s="19" t="n">
        <x:v>2</x:v>
      </x:c>
      <x:c r="K285" s="19" t="n">
        <x:f>E285*G285</x:f>
        <x:v>60</x:v>
      </x:c>
      <x:c r="L285" s="19" t="n">
        <x:f>K285*I285</x:f>
        <x:v>6</x:v>
      </x:c>
      <x:c r="M285" s="19" t="n">
        <x:f>(E285-F285)*G285*(1-I285)</x:f>
        <x:v>54</x:v>
      </x:c>
      <x:c r="N285" s="19" t="n">
        <x:f>(E285-F285)*H285</x:f>
        <x:v>24</x:v>
      </x:c>
      <x:c r="O285" s="19" t="n">
        <x:f>F285*J285</x:f>
        <x:v>0</x:v>
      </x:c>
      <x:c r="P285" s="19" t="n">
        <x:f>M285-N285-O285</x:f>
        <x:v>30</x:v>
      </x:c>
    </x:row>
    <x:row r="286">
      <x:c r="A286" s="15" t="str">
        <x:v>SIM-0282</x:v>
      </x:c>
      <x:c r="B286" s="15" t="str">
        <x:v>2026-02</x:v>
      </x:c>
      <x:c r="C286" s="15" t="str">
        <x:v>Prendas</x:v>
      </x:c>
      <x:c r="D286" s="15" t="str">
        <x:v>Tienda</x:v>
      </x:c>
      <x:c r="E286" s="15" t="n">
        <x:v>2</x:v>
      </x:c>
      <x:c r="F286" s="15" t="n">
        <x:v>0</x:v>
      </x:c>
      <x:c r="G286" s="19" t="n">
        <x:v>60</x:v>
      </x:c>
      <x:c r="H286" s="19" t="n">
        <x:v>24</x:v>
      </x:c>
      <x:c r="I286" s="17" t="n">
        <x:v>0.3</x:v>
      </x:c>
      <x:c r="J286" s="19" t="n">
        <x:v>2</x:v>
      </x:c>
      <x:c r="K286" s="19" t="n">
        <x:f>E286*G286</x:f>
        <x:v>120</x:v>
      </x:c>
      <x:c r="L286" s="19" t="n">
        <x:f>K286*I286</x:f>
        <x:v>36</x:v>
      </x:c>
      <x:c r="M286" s="19" t="n">
        <x:f>(E286-F286)*G286*(1-I286)</x:f>
        <x:v>84</x:v>
      </x:c>
      <x:c r="N286" s="19" t="n">
        <x:f>(E286-F286)*H286</x:f>
        <x:v>48</x:v>
      </x:c>
      <x:c r="O286" s="19" t="n">
        <x:f>F286*J286</x:f>
        <x:v>0</x:v>
      </x:c>
      <x:c r="P286" s="19" t="n">
        <x:f>M286-N286-O286</x:f>
        <x:v>36</x:v>
      </x:c>
    </x:row>
    <x:row r="287">
      <x:c r="A287" s="15" t="str">
        <x:v>SIM-0283</x:v>
      </x:c>
      <x:c r="B287" s="15" t="str">
        <x:v>2026-02</x:v>
      </x:c>
      <x:c r="C287" s="15" t="str">
        <x:v>Prendas</x:v>
      </x:c>
      <x:c r="D287" s="15" t="str">
        <x:v>Tienda</x:v>
      </x:c>
      <x:c r="E287" s="15" t="n">
        <x:v>2</x:v>
      </x:c>
      <x:c r="F287" s="15" t="n">
        <x:v>0</x:v>
      </x:c>
      <x:c r="G287" s="19" t="n">
        <x:v>60</x:v>
      </x:c>
      <x:c r="H287" s="19" t="n">
        <x:v>24</x:v>
      </x:c>
      <x:c r="I287" s="17" t="n">
        <x:v>0.2</x:v>
      </x:c>
      <x:c r="J287" s="19" t="n">
        <x:v>2</x:v>
      </x:c>
      <x:c r="K287" s="19" t="n">
        <x:f>E287*G287</x:f>
        <x:v>120</x:v>
      </x:c>
      <x:c r="L287" s="19" t="n">
        <x:f>K287*I287</x:f>
        <x:v>24</x:v>
      </x:c>
      <x:c r="M287" s="19" t="n">
        <x:f>(E287-F287)*G287*(1-I287)</x:f>
        <x:v>96</x:v>
      </x:c>
      <x:c r="N287" s="19" t="n">
        <x:f>(E287-F287)*H287</x:f>
        <x:v>48</x:v>
      </x:c>
      <x:c r="O287" s="19" t="n">
        <x:f>F287*J287</x:f>
        <x:v>0</x:v>
      </x:c>
      <x:c r="P287" s="19" t="n">
        <x:f>M287-N287-O287</x:f>
        <x:v>48</x:v>
      </x:c>
    </x:row>
    <x:row r="288">
      <x:c r="A288" s="15" t="str">
        <x:v>SIM-0284</x:v>
      </x:c>
      <x:c r="B288" s="15" t="str">
        <x:v>2026-02</x:v>
      </x:c>
      <x:c r="C288" s="15" t="str">
        <x:v>Accesorios</x:v>
      </x:c>
      <x:c r="D288" s="15" t="str">
        <x:v>Online</x:v>
      </x:c>
      <x:c r="E288" s="15" t="n">
        <x:v>2</x:v>
      </x:c>
      <x:c r="F288" s="15" t="n">
        <x:v>0</x:v>
      </x:c>
      <x:c r="G288" s="19" t="n">
        <x:v>30</x:v>
      </x:c>
      <x:c r="H288" s="19" t="n">
        <x:v>9</x:v>
      </x:c>
      <x:c r="I288" s="17" t="n">
        <x:v>0.3</x:v>
      </x:c>
      <x:c r="J288" s="19" t="n">
        <x:v>6</x:v>
      </x:c>
      <x:c r="K288" s="19" t="n">
        <x:f>E288*G288</x:f>
        <x:v>60</x:v>
      </x:c>
      <x:c r="L288" s="19" t="n">
        <x:f>K288*I288</x:f>
        <x:v>18</x:v>
      </x:c>
      <x:c r="M288" s="19" t="n">
        <x:f>(E288-F288)*G288*(1-I288)</x:f>
        <x:v>42</x:v>
      </x:c>
      <x:c r="N288" s="19" t="n">
        <x:f>(E288-F288)*H288</x:f>
        <x:v>18</x:v>
      </x:c>
      <x:c r="O288" s="19" t="n">
        <x:f>F288*J288</x:f>
        <x:v>0</x:v>
      </x:c>
      <x:c r="P288" s="19" t="n">
        <x:f>M288-N288-O288</x:f>
        <x:v>24</x:v>
      </x:c>
    </x:row>
    <x:row r="289">
      <x:c r="A289" s="15" t="str">
        <x:v>SIM-0285</x:v>
      </x:c>
      <x:c r="B289" s="15" t="str">
        <x:v>2026-02</x:v>
      </x:c>
      <x:c r="C289" s="15" t="str">
        <x:v>Calzado</x:v>
      </x:c>
      <x:c r="D289" s="15" t="str">
        <x:v>Tienda</x:v>
      </x:c>
      <x:c r="E289" s="15" t="n">
        <x:v>3</x:v>
      </x:c>
      <x:c r="F289" s="15" t="n">
        <x:v>1</x:v>
      </x:c>
      <x:c r="G289" s="19" t="n">
        <x:v>90</x:v>
      </x:c>
      <x:c r="H289" s="19" t="n">
        <x:v>42</x:v>
      </x:c>
      <x:c r="I289" s="17" t="n">
        <x:v>0.1</x:v>
      </x:c>
      <x:c r="J289" s="19" t="n">
        <x:v>2</x:v>
      </x:c>
      <x:c r="K289" s="19" t="n">
        <x:f>E289*G289</x:f>
        <x:v>270</x:v>
      </x:c>
      <x:c r="L289" s="19" t="n">
        <x:f>K289*I289</x:f>
        <x:v>27</x:v>
      </x:c>
      <x:c r="M289" s="19" t="n">
        <x:f>(E289-F289)*G289*(1-I289)</x:f>
        <x:v>162</x:v>
      </x:c>
      <x:c r="N289" s="19" t="n">
        <x:f>(E289-F289)*H289</x:f>
        <x:v>84</x:v>
      </x:c>
      <x:c r="O289" s="19" t="n">
        <x:f>F289*J289</x:f>
        <x:v>2</x:v>
      </x:c>
      <x:c r="P289" s="19" t="n">
        <x:f>M289-N289-O289</x:f>
        <x:v>76</x:v>
      </x:c>
    </x:row>
    <x:row r="290">
      <x:c r="A290" s="15" t="str">
        <x:v>SIM-0286</x:v>
      </x:c>
      <x:c r="B290" s="15" t="str">
        <x:v>2026-02</x:v>
      </x:c>
      <x:c r="C290" s="15" t="str">
        <x:v>Prendas</x:v>
      </x:c>
      <x:c r="D290" s="15" t="str">
        <x:v>Tienda</x:v>
      </x:c>
      <x:c r="E290" s="15" t="n">
        <x:v>1</x:v>
      </x:c>
      <x:c r="F290" s="15" t="n">
        <x:v>0</x:v>
      </x:c>
      <x:c r="G290" s="19" t="n">
        <x:v>60</x:v>
      </x:c>
      <x:c r="H290" s="19" t="n">
        <x:v>24</x:v>
      </x:c>
      <x:c r="I290" s="17" t="n">
        <x:v>0</x:v>
      </x:c>
      <x:c r="J290" s="19" t="n">
        <x:v>2</x:v>
      </x:c>
      <x:c r="K290" s="19" t="n">
        <x:f>E290*G290</x:f>
        <x:v>60</x:v>
      </x:c>
      <x:c r="L290" s="19" t="n">
        <x:f>K290*I290</x:f>
        <x:v>0</x:v>
      </x:c>
      <x:c r="M290" s="19" t="n">
        <x:f>(E290-F290)*G290*(1-I290)</x:f>
        <x:v>60</x:v>
      </x:c>
      <x:c r="N290" s="19" t="n">
        <x:f>(E290-F290)*H290</x:f>
        <x:v>24</x:v>
      </x:c>
      <x:c r="O290" s="19" t="n">
        <x:f>F290*J290</x:f>
        <x:v>0</x:v>
      </x:c>
      <x:c r="P290" s="19" t="n">
        <x:f>M290-N290-O290</x:f>
        <x:v>36</x:v>
      </x:c>
    </x:row>
    <x:row r="291">
      <x:c r="A291" s="15" t="str">
        <x:v>SIM-0287</x:v>
      </x:c>
      <x:c r="B291" s="15" t="str">
        <x:v>2026-02</x:v>
      </x:c>
      <x:c r="C291" s="15" t="str">
        <x:v>Calzado</x:v>
      </x:c>
      <x:c r="D291" s="15" t="str">
        <x:v>Tienda</x:v>
      </x:c>
      <x:c r="E291" s="15" t="n">
        <x:v>1</x:v>
      </x:c>
      <x:c r="F291" s="15" t="n">
        <x:v>0</x:v>
      </x:c>
      <x:c r="G291" s="19" t="n">
        <x:v>90</x:v>
      </x:c>
      <x:c r="H291" s="19" t="n">
        <x:v>42</x:v>
      </x:c>
      <x:c r="I291" s="17" t="n">
        <x:v>0</x:v>
      </x:c>
      <x:c r="J291" s="19" t="n">
        <x:v>2</x:v>
      </x:c>
      <x:c r="K291" s="19" t="n">
        <x:f>E291*G291</x:f>
        <x:v>90</x:v>
      </x:c>
      <x:c r="L291" s="19" t="n">
        <x:f>K291*I291</x:f>
        <x:v>0</x:v>
      </x:c>
      <x:c r="M291" s="19" t="n">
        <x:f>(E291-F291)*G291*(1-I291)</x:f>
        <x:v>90</x:v>
      </x:c>
      <x:c r="N291" s="19" t="n">
        <x:f>(E291-F291)*H291</x:f>
        <x:v>42</x:v>
      </x:c>
      <x:c r="O291" s="19" t="n">
        <x:f>F291*J291</x:f>
        <x:v>0</x:v>
      </x:c>
      <x:c r="P291" s="19" t="n">
        <x:f>M291-N291-O291</x:f>
        <x:v>48</x:v>
      </x:c>
    </x:row>
    <x:row r="292">
      <x:c r="A292" s="15" t="str">
        <x:v>SIM-0288</x:v>
      </x:c>
      <x:c r="B292" s="15" t="str">
        <x:v>2026-02</x:v>
      </x:c>
      <x:c r="C292" s="15" t="str">
        <x:v>Accesorios</x:v>
      </x:c>
      <x:c r="D292" s="15" t="str">
        <x:v>Online</x:v>
      </x:c>
      <x:c r="E292" s="15" t="n">
        <x:v>2</x:v>
      </x:c>
      <x:c r="F292" s="15" t="n">
        <x:v>0</x:v>
      </x:c>
      <x:c r="G292" s="19" t="n">
        <x:v>30</x:v>
      </x:c>
      <x:c r="H292" s="19" t="n">
        <x:v>9</x:v>
      </x:c>
      <x:c r="I292" s="17" t="n">
        <x:v>0.3</x:v>
      </x:c>
      <x:c r="J292" s="19" t="n">
        <x:v>6</x:v>
      </x:c>
      <x:c r="K292" s="19" t="n">
        <x:f>E292*G292</x:f>
        <x:v>60</x:v>
      </x:c>
      <x:c r="L292" s="19" t="n">
        <x:f>K292*I292</x:f>
        <x:v>18</x:v>
      </x:c>
      <x:c r="M292" s="19" t="n">
        <x:f>(E292-F292)*G292*(1-I292)</x:f>
        <x:v>42</x:v>
      </x:c>
      <x:c r="N292" s="19" t="n">
        <x:f>(E292-F292)*H292</x:f>
        <x:v>18</x:v>
      </x:c>
      <x:c r="O292" s="19" t="n">
        <x:f>F292*J292</x:f>
        <x:v>0</x:v>
      </x:c>
      <x:c r="P292" s="19" t="n">
        <x:f>M292-N292-O292</x:f>
        <x:v>24</x:v>
      </x:c>
    </x:row>
    <x:row r="293">
      <x:c r="A293" s="15" t="str">
        <x:v>SIM-0289</x:v>
      </x:c>
      <x:c r="B293" s="15" t="str">
        <x:v>2026-02</x:v>
      </x:c>
      <x:c r="C293" s="15" t="str">
        <x:v>Prendas</x:v>
      </x:c>
      <x:c r="D293" s="15" t="str">
        <x:v>Tienda</x:v>
      </x:c>
      <x:c r="E293" s="15" t="n">
        <x:v>1</x:v>
      </x:c>
      <x:c r="F293" s="15" t="n">
        <x:v>0</x:v>
      </x:c>
      <x:c r="G293" s="19" t="n">
        <x:v>60</x:v>
      </x:c>
      <x:c r="H293" s="19" t="n">
        <x:v>24</x:v>
      </x:c>
      <x:c r="I293" s="17" t="n">
        <x:v>0</x:v>
      </x:c>
      <x:c r="J293" s="19" t="n">
        <x:v>2</x:v>
      </x:c>
      <x:c r="K293" s="19" t="n">
        <x:f>E293*G293</x:f>
        <x:v>60</x:v>
      </x:c>
      <x:c r="L293" s="19" t="n">
        <x:f>K293*I293</x:f>
        <x:v>0</x:v>
      </x:c>
      <x:c r="M293" s="19" t="n">
        <x:f>(E293-F293)*G293*(1-I293)</x:f>
        <x:v>60</x:v>
      </x:c>
      <x:c r="N293" s="19" t="n">
        <x:f>(E293-F293)*H293</x:f>
        <x:v>24</x:v>
      </x:c>
      <x:c r="O293" s="19" t="n">
        <x:f>F293*J293</x:f>
        <x:v>0</x:v>
      </x:c>
      <x:c r="P293" s="19" t="n">
        <x:f>M293-N293-O293</x:f>
        <x:v>36</x:v>
      </x:c>
    </x:row>
    <x:row r="294">
      <x:c r="A294" s="15" t="str">
        <x:v>SIM-0290</x:v>
      </x:c>
      <x:c r="B294" s="15" t="str">
        <x:v>2026-02</x:v>
      </x:c>
      <x:c r="C294" s="15" t="str">
        <x:v>Calzado</x:v>
      </x:c>
      <x:c r="D294" s="15" t="str">
        <x:v>Tienda</x:v>
      </x:c>
      <x:c r="E294" s="15" t="n">
        <x:v>1</x:v>
      </x:c>
      <x:c r="F294" s="15" t="n">
        <x:v>0</x:v>
      </x:c>
      <x:c r="G294" s="19" t="n">
        <x:v>90</x:v>
      </x:c>
      <x:c r="H294" s="19" t="n">
        <x:v>42</x:v>
      </x:c>
      <x:c r="I294" s="17" t="n">
        <x:v>0.2</x:v>
      </x:c>
      <x:c r="J294" s="19" t="n">
        <x:v>2</x:v>
      </x:c>
      <x:c r="K294" s="19" t="n">
        <x:f>E294*G294</x:f>
        <x:v>90</x:v>
      </x:c>
      <x:c r="L294" s="19" t="n">
        <x:f>K294*I294</x:f>
        <x:v>18</x:v>
      </x:c>
      <x:c r="M294" s="19" t="n">
        <x:f>(E294-F294)*G294*(1-I294)</x:f>
        <x:v>72</x:v>
      </x:c>
      <x:c r="N294" s="19" t="n">
        <x:f>(E294-F294)*H294</x:f>
        <x:v>42</x:v>
      </x:c>
      <x:c r="O294" s="19" t="n">
        <x:f>F294*J294</x:f>
        <x:v>0</x:v>
      </x:c>
      <x:c r="P294" s="19" t="n">
        <x:f>M294-N294-O294</x:f>
        <x:v>30</x:v>
      </x:c>
    </x:row>
    <x:row r="295">
      <x:c r="A295" s="15" t="str">
        <x:v>SIM-0291</x:v>
      </x:c>
      <x:c r="B295" s="15" t="str">
        <x:v>2026-02</x:v>
      </x:c>
      <x:c r="C295" s="15" t="str">
        <x:v>Prendas</x:v>
      </x:c>
      <x:c r="D295" s="15" t="str">
        <x:v>Online</x:v>
      </x:c>
      <x:c r="E295" s="15" t="n">
        <x:v>1</x:v>
      </x:c>
      <x:c r="F295" s="15" t="n">
        <x:v>0</x:v>
      </x:c>
      <x:c r="G295" s="19" t="n">
        <x:v>60</x:v>
      </x:c>
      <x:c r="H295" s="19" t="n">
        <x:v>24</x:v>
      </x:c>
      <x:c r="I295" s="17" t="n">
        <x:v>0</x:v>
      </x:c>
      <x:c r="J295" s="19" t="n">
        <x:v>6</x:v>
      </x:c>
      <x:c r="K295" s="19" t="n">
        <x:f>E295*G295</x:f>
        <x:v>60</x:v>
      </x:c>
      <x:c r="L295" s="19" t="n">
        <x:f>K295*I295</x:f>
        <x:v>0</x:v>
      </x:c>
      <x:c r="M295" s="19" t="n">
        <x:f>(E295-F295)*G295*(1-I295)</x:f>
        <x:v>60</x:v>
      </x:c>
      <x:c r="N295" s="19" t="n">
        <x:f>(E295-F295)*H295</x:f>
        <x:v>24</x:v>
      </x:c>
      <x:c r="O295" s="19" t="n">
        <x:f>F295*J295</x:f>
        <x:v>0</x:v>
      </x:c>
      <x:c r="P295" s="19" t="n">
        <x:f>M295-N295-O295</x:f>
        <x:v>36</x:v>
      </x:c>
    </x:row>
    <x:row r="296">
      <x:c r="A296" s="15" t="str">
        <x:v>SIM-0292</x:v>
      </x:c>
      <x:c r="B296" s="15" t="str">
        <x:v>2026-02</x:v>
      </x:c>
      <x:c r="C296" s="15" t="str">
        <x:v>Prendas</x:v>
      </x:c>
      <x:c r="D296" s="15" t="str">
        <x:v>Tienda</x:v>
      </x:c>
      <x:c r="E296" s="15" t="n">
        <x:v>1</x:v>
      </x:c>
      <x:c r="F296" s="15" t="n">
        <x:v>0</x:v>
      </x:c>
      <x:c r="G296" s="19" t="n">
        <x:v>60</x:v>
      </x:c>
      <x:c r="H296" s="19" t="n">
        <x:v>24</x:v>
      </x:c>
      <x:c r="I296" s="17" t="n">
        <x:v>0.1</x:v>
      </x:c>
      <x:c r="J296" s="19" t="n">
        <x:v>2</x:v>
      </x:c>
      <x:c r="K296" s="19" t="n">
        <x:f>E296*G296</x:f>
        <x:v>60</x:v>
      </x:c>
      <x:c r="L296" s="19" t="n">
        <x:f>K296*I296</x:f>
        <x:v>6</x:v>
      </x:c>
      <x:c r="M296" s="19" t="n">
        <x:f>(E296-F296)*G296*(1-I296)</x:f>
        <x:v>54</x:v>
      </x:c>
      <x:c r="N296" s="19" t="n">
        <x:f>(E296-F296)*H296</x:f>
        <x:v>24</x:v>
      </x:c>
      <x:c r="O296" s="19" t="n">
        <x:f>F296*J296</x:f>
        <x:v>0</x:v>
      </x:c>
      <x:c r="P296" s="19" t="n">
        <x:f>M296-N296-O296</x:f>
        <x:v>30</x:v>
      </x:c>
    </x:row>
    <x:row r="297">
      <x:c r="A297" s="15" t="str">
        <x:v>SIM-0293</x:v>
      </x:c>
      <x:c r="B297" s="15" t="str">
        <x:v>2026-02</x:v>
      </x:c>
      <x:c r="C297" s="15" t="str">
        <x:v>Calzado</x:v>
      </x:c>
      <x:c r="D297" s="15" t="str">
        <x:v>Online</x:v>
      </x:c>
      <x:c r="E297" s="15" t="n">
        <x:v>2</x:v>
      </x:c>
      <x:c r="F297" s="15" t="n">
        <x:v>0</x:v>
      </x:c>
      <x:c r="G297" s="19" t="n">
        <x:v>90</x:v>
      </x:c>
      <x:c r="H297" s="19" t="n">
        <x:v>42</x:v>
      </x:c>
      <x:c r="I297" s="17" t="n">
        <x:v>0.3</x:v>
      </x:c>
      <x:c r="J297" s="19" t="n">
        <x:v>6</x:v>
      </x:c>
      <x:c r="K297" s="19" t="n">
        <x:f>E297*G297</x:f>
        <x:v>180</x:v>
      </x:c>
      <x:c r="L297" s="19" t="n">
        <x:f>K297*I297</x:f>
        <x:v>54</x:v>
      </x:c>
      <x:c r="M297" s="19" t="n">
        <x:f>(E297-F297)*G297*(1-I297)</x:f>
        <x:v>125.99999999999999</x:v>
      </x:c>
      <x:c r="N297" s="19" t="n">
        <x:f>(E297-F297)*H297</x:f>
        <x:v>84</x:v>
      </x:c>
      <x:c r="O297" s="19" t="n">
        <x:f>F297*J297</x:f>
        <x:v>0</x:v>
      </x:c>
      <x:c r="P297" s="19" t="n">
        <x:f>M297-N297-O297</x:f>
        <x:v>41.999999999999986</x:v>
      </x:c>
    </x:row>
    <x:row r="298">
      <x:c r="A298" s="15" t="str">
        <x:v>SIM-0294</x:v>
      </x:c>
      <x:c r="B298" s="15" t="str">
        <x:v>2026-02</x:v>
      </x:c>
      <x:c r="C298" s="15" t="str">
        <x:v>Prendas</x:v>
      </x:c>
      <x:c r="D298" s="15" t="str">
        <x:v>Tienda</x:v>
      </x:c>
      <x:c r="E298" s="15" t="n">
        <x:v>1</x:v>
      </x:c>
      <x:c r="F298" s="15" t="n">
        <x:v>0</x:v>
      </x:c>
      <x:c r="G298" s="19" t="n">
        <x:v>60</x:v>
      </x:c>
      <x:c r="H298" s="19" t="n">
        <x:v>24</x:v>
      </x:c>
      <x:c r="I298" s="17" t="n">
        <x:v>0</x:v>
      </x:c>
      <x:c r="J298" s="19" t="n">
        <x:v>2</x:v>
      </x:c>
      <x:c r="K298" s="19" t="n">
        <x:f>E298*G298</x:f>
        <x:v>60</x:v>
      </x:c>
      <x:c r="L298" s="19" t="n">
        <x:f>K298*I298</x:f>
        <x:v>0</x:v>
      </x:c>
      <x:c r="M298" s="19" t="n">
        <x:f>(E298-F298)*G298*(1-I298)</x:f>
        <x:v>60</x:v>
      </x:c>
      <x:c r="N298" s="19" t="n">
        <x:f>(E298-F298)*H298</x:f>
        <x:v>24</x:v>
      </x:c>
      <x:c r="O298" s="19" t="n">
        <x:f>F298*J298</x:f>
        <x:v>0</x:v>
      </x:c>
      <x:c r="P298" s="19" t="n">
        <x:f>M298-N298-O298</x:f>
        <x:v>36</x:v>
      </x:c>
    </x:row>
    <x:row r="299">
      <x:c r="A299" s="15" t="str">
        <x:v>SIM-0295</x:v>
      </x:c>
      <x:c r="B299" s="15" t="str">
        <x:v>2026-02</x:v>
      </x:c>
      <x:c r="C299" s="15" t="str">
        <x:v>Calzado</x:v>
      </x:c>
      <x:c r="D299" s="15" t="str">
        <x:v>Online</x:v>
      </x:c>
      <x:c r="E299" s="15" t="n">
        <x:v>1</x:v>
      </x:c>
      <x:c r="F299" s="15" t="n">
        <x:v>0</x:v>
      </x:c>
      <x:c r="G299" s="19" t="n">
        <x:v>90</x:v>
      </x:c>
      <x:c r="H299" s="19" t="n">
        <x:v>42</x:v>
      </x:c>
      <x:c r="I299" s="17" t="n">
        <x:v>0.1</x:v>
      </x:c>
      <x:c r="J299" s="19" t="n">
        <x:v>6</x:v>
      </x:c>
      <x:c r="K299" s="19" t="n">
        <x:f>E299*G299</x:f>
        <x:v>90</x:v>
      </x:c>
      <x:c r="L299" s="19" t="n">
        <x:f>K299*I299</x:f>
        <x:v>9</x:v>
      </x:c>
      <x:c r="M299" s="19" t="n">
        <x:f>(E299-F299)*G299*(1-I299)</x:f>
        <x:v>81</x:v>
      </x:c>
      <x:c r="N299" s="19" t="n">
        <x:f>(E299-F299)*H299</x:f>
        <x:v>42</x:v>
      </x:c>
      <x:c r="O299" s="19" t="n">
        <x:f>F299*J299</x:f>
        <x:v>0</x:v>
      </x:c>
      <x:c r="P299" s="19" t="n">
        <x:f>M299-N299-O299</x:f>
        <x:v>39</x:v>
      </x:c>
    </x:row>
    <x:row r="300">
      <x:c r="A300" s="15" t="str">
        <x:v>SIM-0296</x:v>
      </x:c>
      <x:c r="B300" s="15" t="str">
        <x:v>2026-02</x:v>
      </x:c>
      <x:c r="C300" s="15" t="str">
        <x:v>Prendas</x:v>
      </x:c>
      <x:c r="D300" s="15" t="str">
        <x:v>Online</x:v>
      </x:c>
      <x:c r="E300" s="15" t="n">
        <x:v>1</x:v>
      </x:c>
      <x:c r="F300" s="15" t="n">
        <x:v>0</x:v>
      </x:c>
      <x:c r="G300" s="19" t="n">
        <x:v>60</x:v>
      </x:c>
      <x:c r="H300" s="19" t="n">
        <x:v>24</x:v>
      </x:c>
      <x:c r="I300" s="17" t="n">
        <x:v>0.2</x:v>
      </x:c>
      <x:c r="J300" s="19" t="n">
        <x:v>6</x:v>
      </x:c>
      <x:c r="K300" s="19" t="n">
        <x:f>E300*G300</x:f>
        <x:v>60</x:v>
      </x:c>
      <x:c r="L300" s="19" t="n">
        <x:f>K300*I300</x:f>
        <x:v>12</x:v>
      </x:c>
      <x:c r="M300" s="19" t="n">
        <x:f>(E300-F300)*G300*(1-I300)</x:f>
        <x:v>48</x:v>
      </x:c>
      <x:c r="N300" s="19" t="n">
        <x:f>(E300-F300)*H300</x:f>
        <x:v>24</x:v>
      </x:c>
      <x:c r="O300" s="19" t="n">
        <x:f>F300*J300</x:f>
        <x:v>0</x:v>
      </x:c>
      <x:c r="P300" s="19" t="n">
        <x:f>M300-N300-O300</x:f>
        <x:v>24</x:v>
      </x:c>
    </x:row>
    <x:row r="301">
      <x:c r="A301" s="15" t="str">
        <x:v>SIM-0297</x:v>
      </x:c>
      <x:c r="B301" s="15" t="str">
        <x:v>2026-02</x:v>
      </x:c>
      <x:c r="C301" s="15" t="str">
        <x:v>Prendas</x:v>
      </x:c>
      <x:c r="D301" s="15" t="str">
        <x:v>Online</x:v>
      </x:c>
      <x:c r="E301" s="15" t="n">
        <x:v>1</x:v>
      </x:c>
      <x:c r="F301" s="15" t="n">
        <x:v>0</x:v>
      </x:c>
      <x:c r="G301" s="19" t="n">
        <x:v>60</x:v>
      </x:c>
      <x:c r="H301" s="19" t="n">
        <x:v>24</x:v>
      </x:c>
      <x:c r="I301" s="17" t="n">
        <x:v>0.2</x:v>
      </x:c>
      <x:c r="J301" s="19" t="n">
        <x:v>6</x:v>
      </x:c>
      <x:c r="K301" s="19" t="n">
        <x:f>E301*G301</x:f>
        <x:v>60</x:v>
      </x:c>
      <x:c r="L301" s="19" t="n">
        <x:f>K301*I301</x:f>
        <x:v>12</x:v>
      </x:c>
      <x:c r="M301" s="19" t="n">
        <x:f>(E301-F301)*G301*(1-I301)</x:f>
        <x:v>48</x:v>
      </x:c>
      <x:c r="N301" s="19" t="n">
        <x:f>(E301-F301)*H301</x:f>
        <x:v>24</x:v>
      </x:c>
      <x:c r="O301" s="19" t="n">
        <x:f>F301*J301</x:f>
        <x:v>0</x:v>
      </x:c>
      <x:c r="P301" s="19" t="n">
        <x:f>M301-N301-O301</x:f>
        <x:v>24</x:v>
      </x:c>
    </x:row>
    <x:row r="302">
      <x:c r="A302" s="15" t="str">
        <x:v>SIM-0298</x:v>
      </x:c>
      <x:c r="B302" s="15" t="str">
        <x:v>2026-02</x:v>
      </x:c>
      <x:c r="C302" s="15" t="str">
        <x:v>Prendas</x:v>
      </x:c>
      <x:c r="D302" s="15" t="str">
        <x:v>Tienda</x:v>
      </x:c>
      <x:c r="E302" s="15" t="n">
        <x:v>1</x:v>
      </x:c>
      <x:c r="F302" s="15" t="n">
        <x:v>0</x:v>
      </x:c>
      <x:c r="G302" s="19" t="n">
        <x:v>60</x:v>
      </x:c>
      <x:c r="H302" s="19" t="n">
        <x:v>24</x:v>
      </x:c>
      <x:c r="I302" s="17" t="n">
        <x:v>0</x:v>
      </x:c>
      <x:c r="J302" s="19" t="n">
        <x:v>2</x:v>
      </x:c>
      <x:c r="K302" s="19" t="n">
        <x:f>E302*G302</x:f>
        <x:v>60</x:v>
      </x:c>
      <x:c r="L302" s="19" t="n">
        <x:f>K302*I302</x:f>
        <x:v>0</x:v>
      </x:c>
      <x:c r="M302" s="19" t="n">
        <x:f>(E302-F302)*G302*(1-I302)</x:f>
        <x:v>60</x:v>
      </x:c>
      <x:c r="N302" s="19" t="n">
        <x:f>(E302-F302)*H302</x:f>
        <x:v>24</x:v>
      </x:c>
      <x:c r="O302" s="19" t="n">
        <x:f>F302*J302</x:f>
        <x:v>0</x:v>
      </x:c>
      <x:c r="P302" s="19" t="n">
        <x:f>M302-N302-O302</x:f>
        <x:v>36</x:v>
      </x:c>
    </x:row>
    <x:row r="303">
      <x:c r="A303" s="15" t="str">
        <x:v>SIM-0299</x:v>
      </x:c>
      <x:c r="B303" s="15" t="str">
        <x:v>2026-02</x:v>
      </x:c>
      <x:c r="C303" s="15" t="str">
        <x:v>Prendas</x:v>
      </x:c>
      <x:c r="D303" s="15" t="str">
        <x:v>Tienda</x:v>
      </x:c>
      <x:c r="E303" s="15" t="n">
        <x:v>1</x:v>
      </x:c>
      <x:c r="F303" s="15" t="n">
        <x:v>0</x:v>
      </x:c>
      <x:c r="G303" s="19" t="n">
        <x:v>60</x:v>
      </x:c>
      <x:c r="H303" s="19" t="n">
        <x:v>24</x:v>
      </x:c>
      <x:c r="I303" s="17" t="n">
        <x:v>0</x:v>
      </x:c>
      <x:c r="J303" s="19" t="n">
        <x:v>2</x:v>
      </x:c>
      <x:c r="K303" s="19" t="n">
        <x:f>E303*G303</x:f>
        <x:v>60</x:v>
      </x:c>
      <x:c r="L303" s="19" t="n">
        <x:f>K303*I303</x:f>
        <x:v>0</x:v>
      </x:c>
      <x:c r="M303" s="19" t="n">
        <x:f>(E303-F303)*G303*(1-I303)</x:f>
        <x:v>60</x:v>
      </x:c>
      <x:c r="N303" s="19" t="n">
        <x:f>(E303-F303)*H303</x:f>
        <x:v>24</x:v>
      </x:c>
      <x:c r="O303" s="19" t="n">
        <x:f>F303*J303</x:f>
        <x:v>0</x:v>
      </x:c>
      <x:c r="P303" s="19" t="n">
        <x:f>M303-N303-O303</x:f>
        <x:v>36</x:v>
      </x:c>
    </x:row>
    <x:row r="304">
      <x:c r="A304" s="15" t="str">
        <x:v>SIM-0300</x:v>
      </x:c>
      <x:c r="B304" s="15" t="str">
        <x:v>2026-02</x:v>
      </x:c>
      <x:c r="C304" s="15" t="str">
        <x:v>Calzado</x:v>
      </x:c>
      <x:c r="D304" s="15" t="str">
        <x:v>Tienda</x:v>
      </x:c>
      <x:c r="E304" s="15" t="n">
        <x:v>1</x:v>
      </x:c>
      <x:c r="F304" s="15" t="n">
        <x:v>0</x:v>
      </x:c>
      <x:c r="G304" s="19" t="n">
        <x:v>90</x:v>
      </x:c>
      <x:c r="H304" s="19" t="n">
        <x:v>42</x:v>
      </x:c>
      <x:c r="I304" s="17" t="n">
        <x:v>0.3</x:v>
      </x:c>
      <x:c r="J304" s="19" t="n">
        <x:v>2</x:v>
      </x:c>
      <x:c r="K304" s="19" t="n">
        <x:f>E304*G304</x:f>
        <x:v>90</x:v>
      </x:c>
      <x:c r="L304" s="19" t="n">
        <x:f>K304*I304</x:f>
        <x:v>27</x:v>
      </x:c>
      <x:c r="M304" s="19" t="n">
        <x:f>(E304-F304)*G304*(1-I304)</x:f>
        <x:v>62.99999999999999</x:v>
      </x:c>
      <x:c r="N304" s="19" t="n">
        <x:f>(E304-F304)*H304</x:f>
        <x:v>42</x:v>
      </x:c>
      <x:c r="O304" s="19" t="n">
        <x:f>F304*J304</x:f>
        <x:v>0</x:v>
      </x:c>
      <x:c r="P304" s="19" t="n">
        <x:f>M304-N304-O304</x:f>
        <x:v>20.999999999999993</x:v>
      </x:c>
    </x:row>
    <x:row r="305">
      <x:c r="A305" s="15" t="str">
        <x:v>SIM-0301</x:v>
      </x:c>
      <x:c r="B305" s="15" t="str">
        <x:v>2026-02</x:v>
      </x:c>
      <x:c r="C305" s="15" t="str">
        <x:v>Calzado</x:v>
      </x:c>
      <x:c r="D305" s="15" t="str">
        <x:v>Online</x:v>
      </x:c>
      <x:c r="E305" s="15" t="n">
        <x:v>2</x:v>
      </x:c>
      <x:c r="F305" s="15" t="n">
        <x:v>0</x:v>
      </x:c>
      <x:c r="G305" s="19" t="n">
        <x:v>90</x:v>
      </x:c>
      <x:c r="H305" s="19" t="n">
        <x:v>42</x:v>
      </x:c>
      <x:c r="I305" s="17" t="n">
        <x:v>0.2</x:v>
      </x:c>
      <x:c r="J305" s="19" t="n">
        <x:v>6</x:v>
      </x:c>
      <x:c r="K305" s="19" t="n">
        <x:f>E305*G305</x:f>
        <x:v>180</x:v>
      </x:c>
      <x:c r="L305" s="19" t="n">
        <x:f>K305*I305</x:f>
        <x:v>36</x:v>
      </x:c>
      <x:c r="M305" s="19" t="n">
        <x:f>(E305-F305)*G305*(1-I305)</x:f>
        <x:v>144</x:v>
      </x:c>
      <x:c r="N305" s="19" t="n">
        <x:f>(E305-F305)*H305</x:f>
        <x:v>84</x:v>
      </x:c>
      <x:c r="O305" s="19" t="n">
        <x:f>F305*J305</x:f>
        <x:v>0</x:v>
      </x:c>
      <x:c r="P305" s="19" t="n">
        <x:f>M305-N305-O305</x:f>
        <x:v>60</x:v>
      </x:c>
    </x:row>
    <x:row r="306">
      <x:c r="A306" s="15" t="str">
        <x:v>SIM-0302</x:v>
      </x:c>
      <x:c r="B306" s="15" t="str">
        <x:v>2026-02</x:v>
      </x:c>
      <x:c r="C306" s="15" t="str">
        <x:v>Accesorios</x:v>
      </x:c>
      <x:c r="D306" s="15" t="str">
        <x:v>Tienda</x:v>
      </x:c>
      <x:c r="E306" s="15" t="n">
        <x:v>1</x:v>
      </x:c>
      <x:c r="F306" s="15" t="n">
        <x:v>0</x:v>
      </x:c>
      <x:c r="G306" s="19" t="n">
        <x:v>30</x:v>
      </x:c>
      <x:c r="H306" s="19" t="n">
        <x:v>9</x:v>
      </x:c>
      <x:c r="I306" s="17" t="n">
        <x:v>0.1</x:v>
      </x:c>
      <x:c r="J306" s="19" t="n">
        <x:v>2</x:v>
      </x:c>
      <x:c r="K306" s="19" t="n">
        <x:f>E306*G306</x:f>
        <x:v>30</x:v>
      </x:c>
      <x:c r="L306" s="19" t="n">
        <x:f>K306*I306</x:f>
        <x:v>3</x:v>
      </x:c>
      <x:c r="M306" s="19" t="n">
        <x:f>(E306-F306)*G306*(1-I306)</x:f>
        <x:v>27</x:v>
      </x:c>
      <x:c r="N306" s="19" t="n">
        <x:f>(E306-F306)*H306</x:f>
        <x:v>9</x:v>
      </x:c>
      <x:c r="O306" s="19" t="n">
        <x:f>F306*J306</x:f>
        <x:v>0</x:v>
      </x:c>
      <x:c r="P306" s="19" t="n">
        <x:f>M306-N306-O306</x:f>
        <x:v>18</x:v>
      </x:c>
    </x:row>
    <x:row r="307">
      <x:c r="A307" s="15" t="str">
        <x:v>SIM-0303</x:v>
      </x:c>
      <x:c r="B307" s="15" t="str">
        <x:v>2026-02</x:v>
      </x:c>
      <x:c r="C307" s="15" t="str">
        <x:v>Calzado</x:v>
      </x:c>
      <x:c r="D307" s="15" t="str">
        <x:v>Tienda</x:v>
      </x:c>
      <x:c r="E307" s="15" t="n">
        <x:v>1</x:v>
      </x:c>
      <x:c r="F307" s="15" t="n">
        <x:v>0</x:v>
      </x:c>
      <x:c r="G307" s="19" t="n">
        <x:v>90</x:v>
      </x:c>
      <x:c r="H307" s="19" t="n">
        <x:v>42</x:v>
      </x:c>
      <x:c r="I307" s="17" t="n">
        <x:v>0.2</x:v>
      </x:c>
      <x:c r="J307" s="19" t="n">
        <x:v>2</x:v>
      </x:c>
      <x:c r="K307" s="19" t="n">
        <x:f>E307*G307</x:f>
        <x:v>90</x:v>
      </x:c>
      <x:c r="L307" s="19" t="n">
        <x:f>K307*I307</x:f>
        <x:v>18</x:v>
      </x:c>
      <x:c r="M307" s="19" t="n">
        <x:f>(E307-F307)*G307*(1-I307)</x:f>
        <x:v>72</x:v>
      </x:c>
      <x:c r="N307" s="19" t="n">
        <x:f>(E307-F307)*H307</x:f>
        <x:v>42</x:v>
      </x:c>
      <x:c r="O307" s="19" t="n">
        <x:f>F307*J307</x:f>
        <x:v>0</x:v>
      </x:c>
      <x:c r="P307" s="19" t="n">
        <x:f>M307-N307-O307</x:f>
        <x:v>30</x:v>
      </x:c>
    </x:row>
    <x:row r="308">
      <x:c r="A308" s="15" t="str">
        <x:v>SIM-0304</x:v>
      </x:c>
      <x:c r="B308" s="15" t="str">
        <x:v>2026-02</x:v>
      </x:c>
      <x:c r="C308" s="15" t="str">
        <x:v>Prendas</x:v>
      </x:c>
      <x:c r="D308" s="15" t="str">
        <x:v>Online</x:v>
      </x:c>
      <x:c r="E308" s="15" t="n">
        <x:v>1</x:v>
      </x:c>
      <x:c r="F308" s="15" t="n">
        <x:v>0</x:v>
      </x:c>
      <x:c r="G308" s="19" t="n">
        <x:v>60</x:v>
      </x:c>
      <x:c r="H308" s="19" t="n">
        <x:v>24</x:v>
      </x:c>
      <x:c r="I308" s="17" t="n">
        <x:v>0</x:v>
      </x:c>
      <x:c r="J308" s="19" t="n">
        <x:v>6</x:v>
      </x:c>
      <x:c r="K308" s="19" t="n">
        <x:f>E308*G308</x:f>
        <x:v>60</x:v>
      </x:c>
      <x:c r="L308" s="19" t="n">
        <x:f>K308*I308</x:f>
        <x:v>0</x:v>
      </x:c>
      <x:c r="M308" s="19" t="n">
        <x:f>(E308-F308)*G308*(1-I308)</x:f>
        <x:v>60</x:v>
      </x:c>
      <x:c r="N308" s="19" t="n">
        <x:f>(E308-F308)*H308</x:f>
        <x:v>24</x:v>
      </x:c>
      <x:c r="O308" s="19" t="n">
        <x:f>F308*J308</x:f>
        <x:v>0</x:v>
      </x:c>
      <x:c r="P308" s="19" t="n">
        <x:f>M308-N308-O308</x:f>
        <x:v>36</x:v>
      </x:c>
    </x:row>
    <x:row r="309">
      <x:c r="A309" s="15" t="str">
        <x:v>SIM-0305</x:v>
      </x:c>
      <x:c r="B309" s="15" t="str">
        <x:v>2026-02</x:v>
      </x:c>
      <x:c r="C309" s="15" t="str">
        <x:v>Accesorios</x:v>
      </x:c>
      <x:c r="D309" s="15" t="str">
        <x:v>Online</x:v>
      </x:c>
      <x:c r="E309" s="15" t="n">
        <x:v>1</x:v>
      </x:c>
      <x:c r="F309" s="15" t="n">
        <x:v>0</x:v>
      </x:c>
      <x:c r="G309" s="19" t="n">
        <x:v>30</x:v>
      </x:c>
      <x:c r="H309" s="19" t="n">
        <x:v>9</x:v>
      </x:c>
      <x:c r="I309" s="17" t="n">
        <x:v>0</x:v>
      </x:c>
      <x:c r="J309" s="19" t="n">
        <x:v>6</x:v>
      </x:c>
      <x:c r="K309" s="19" t="n">
        <x:f>E309*G309</x:f>
        <x:v>30</x:v>
      </x:c>
      <x:c r="L309" s="19" t="n">
        <x:f>K309*I309</x:f>
        <x:v>0</x:v>
      </x:c>
      <x:c r="M309" s="19" t="n">
        <x:f>(E309-F309)*G309*(1-I309)</x:f>
        <x:v>30</x:v>
      </x:c>
      <x:c r="N309" s="19" t="n">
        <x:f>(E309-F309)*H309</x:f>
        <x:v>9</x:v>
      </x:c>
      <x:c r="O309" s="19" t="n">
        <x:f>F309*J309</x:f>
        <x:v>0</x:v>
      </x:c>
      <x:c r="P309" s="19" t="n">
        <x:f>M309-N309-O309</x:f>
        <x:v>21</x:v>
      </x:c>
    </x:row>
    <x:row r="310">
      <x:c r="A310" s="15" t="str">
        <x:v>SIM-0306</x:v>
      </x:c>
      <x:c r="B310" s="15" t="str">
        <x:v>2026-02</x:v>
      </x:c>
      <x:c r="C310" s="15" t="str">
        <x:v>Prendas</x:v>
      </x:c>
      <x:c r="D310" s="15" t="str">
        <x:v>Online</x:v>
      </x:c>
      <x:c r="E310" s="15" t="n">
        <x:v>2</x:v>
      </x:c>
      <x:c r="F310" s="15" t="n">
        <x:v>0</x:v>
      </x:c>
      <x:c r="G310" s="19" t="n">
        <x:v>60</x:v>
      </x:c>
      <x:c r="H310" s="19" t="n">
        <x:v>24</x:v>
      </x:c>
      <x:c r="I310" s="17" t="n">
        <x:v>0</x:v>
      </x:c>
      <x:c r="J310" s="19" t="n">
        <x:v>6</x:v>
      </x:c>
      <x:c r="K310" s="19" t="n">
        <x:f>E310*G310</x:f>
        <x:v>120</x:v>
      </x:c>
      <x:c r="L310" s="19" t="n">
        <x:f>K310*I310</x:f>
        <x:v>0</x:v>
      </x:c>
      <x:c r="M310" s="19" t="n">
        <x:f>(E310-F310)*G310*(1-I310)</x:f>
        <x:v>120</x:v>
      </x:c>
      <x:c r="N310" s="19" t="n">
        <x:f>(E310-F310)*H310</x:f>
        <x:v>48</x:v>
      </x:c>
      <x:c r="O310" s="19" t="n">
        <x:f>F310*J310</x:f>
        <x:v>0</x:v>
      </x:c>
      <x:c r="P310" s="19" t="n">
        <x:f>M310-N310-O310</x:f>
        <x:v>72</x:v>
      </x:c>
    </x:row>
    <x:row r="311">
      <x:c r="A311" s="15" t="str">
        <x:v>SIM-0307</x:v>
      </x:c>
      <x:c r="B311" s="15" t="str">
        <x:v>2026-02</x:v>
      </x:c>
      <x:c r="C311" s="15" t="str">
        <x:v>Prendas</x:v>
      </x:c>
      <x:c r="D311" s="15" t="str">
        <x:v>Tienda</x:v>
      </x:c>
      <x:c r="E311" s="15" t="n">
        <x:v>1</x:v>
      </x:c>
      <x:c r="F311" s="15" t="n">
        <x:v>0</x:v>
      </x:c>
      <x:c r="G311" s="19" t="n">
        <x:v>60</x:v>
      </x:c>
      <x:c r="H311" s="19" t="n">
        <x:v>24</x:v>
      </x:c>
      <x:c r="I311" s="17" t="n">
        <x:v>0</x:v>
      </x:c>
      <x:c r="J311" s="19" t="n">
        <x:v>2</x:v>
      </x:c>
      <x:c r="K311" s="19" t="n">
        <x:f>E311*G311</x:f>
        <x:v>60</x:v>
      </x:c>
      <x:c r="L311" s="19" t="n">
        <x:f>K311*I311</x:f>
        <x:v>0</x:v>
      </x:c>
      <x:c r="M311" s="19" t="n">
        <x:f>(E311-F311)*G311*(1-I311)</x:f>
        <x:v>60</x:v>
      </x:c>
      <x:c r="N311" s="19" t="n">
        <x:f>(E311-F311)*H311</x:f>
        <x:v>24</x:v>
      </x:c>
      <x:c r="O311" s="19" t="n">
        <x:f>F311*J311</x:f>
        <x:v>0</x:v>
      </x:c>
      <x:c r="P311" s="19" t="n">
        <x:f>M311-N311-O311</x:f>
        <x:v>36</x:v>
      </x:c>
    </x:row>
    <x:row r="312">
      <x:c r="A312" s="15" t="str">
        <x:v>SIM-0308</x:v>
      </x:c>
      <x:c r="B312" s="15" t="str">
        <x:v>2026-02</x:v>
      </x:c>
      <x:c r="C312" s="15" t="str">
        <x:v>Prendas</x:v>
      </x:c>
      <x:c r="D312" s="15" t="str">
        <x:v>Tienda</x:v>
      </x:c>
      <x:c r="E312" s="15" t="n">
        <x:v>1</x:v>
      </x:c>
      <x:c r="F312" s="15" t="n">
        <x:v>0</x:v>
      </x:c>
      <x:c r="G312" s="19" t="n">
        <x:v>60</x:v>
      </x:c>
      <x:c r="H312" s="19" t="n">
        <x:v>24</x:v>
      </x:c>
      <x:c r="I312" s="17" t="n">
        <x:v>0</x:v>
      </x:c>
      <x:c r="J312" s="19" t="n">
        <x:v>2</x:v>
      </x:c>
      <x:c r="K312" s="19" t="n">
        <x:f>E312*G312</x:f>
        <x:v>60</x:v>
      </x:c>
      <x:c r="L312" s="19" t="n">
        <x:f>K312*I312</x:f>
        <x:v>0</x:v>
      </x:c>
      <x:c r="M312" s="19" t="n">
        <x:f>(E312-F312)*G312*(1-I312)</x:f>
        <x:v>60</x:v>
      </x:c>
      <x:c r="N312" s="19" t="n">
        <x:f>(E312-F312)*H312</x:f>
        <x:v>24</x:v>
      </x:c>
      <x:c r="O312" s="19" t="n">
        <x:f>F312*J312</x:f>
        <x:v>0</x:v>
      </x:c>
      <x:c r="P312" s="19" t="n">
        <x:f>M312-N312-O312</x:f>
        <x:v>36</x:v>
      </x:c>
    </x:row>
    <x:row r="313">
      <x:c r="A313" s="15" t="str">
        <x:v>SIM-0309</x:v>
      </x:c>
      <x:c r="B313" s="15" t="str">
        <x:v>2026-02</x:v>
      </x:c>
      <x:c r="C313" s="15" t="str">
        <x:v>Calzado</x:v>
      </x:c>
      <x:c r="D313" s="15" t="str">
        <x:v>Tienda</x:v>
      </x:c>
      <x:c r="E313" s="15" t="n">
        <x:v>1</x:v>
      </x:c>
      <x:c r="F313" s="15" t="n">
        <x:v>0</x:v>
      </x:c>
      <x:c r="G313" s="19" t="n">
        <x:v>90</x:v>
      </x:c>
      <x:c r="H313" s="19" t="n">
        <x:v>42</x:v>
      </x:c>
      <x:c r="I313" s="17" t="n">
        <x:v>0.3</x:v>
      </x:c>
      <x:c r="J313" s="19" t="n">
        <x:v>2</x:v>
      </x:c>
      <x:c r="K313" s="19" t="n">
        <x:f>E313*G313</x:f>
        <x:v>90</x:v>
      </x:c>
      <x:c r="L313" s="19" t="n">
        <x:f>K313*I313</x:f>
        <x:v>27</x:v>
      </x:c>
      <x:c r="M313" s="19" t="n">
        <x:f>(E313-F313)*G313*(1-I313)</x:f>
        <x:v>62.99999999999999</x:v>
      </x:c>
      <x:c r="N313" s="19" t="n">
        <x:f>(E313-F313)*H313</x:f>
        <x:v>42</x:v>
      </x:c>
      <x:c r="O313" s="19" t="n">
        <x:f>F313*J313</x:f>
        <x:v>0</x:v>
      </x:c>
      <x:c r="P313" s="19" t="n">
        <x:f>M313-N313-O313</x:f>
        <x:v>20.999999999999993</x:v>
      </x:c>
    </x:row>
    <x:row r="314">
      <x:c r="A314" s="15" t="str">
        <x:v>SIM-0310</x:v>
      </x:c>
      <x:c r="B314" s="15" t="str">
        <x:v>2026-02</x:v>
      </x:c>
      <x:c r="C314" s="15" t="str">
        <x:v>Prendas</x:v>
      </x:c>
      <x:c r="D314" s="15" t="str">
        <x:v>Tienda</x:v>
      </x:c>
      <x:c r="E314" s="15" t="n">
        <x:v>1</x:v>
      </x:c>
      <x:c r="F314" s="15" t="n">
        <x:v>0</x:v>
      </x:c>
      <x:c r="G314" s="19" t="n">
        <x:v>60</x:v>
      </x:c>
      <x:c r="H314" s="19" t="n">
        <x:v>24</x:v>
      </x:c>
      <x:c r="I314" s="17" t="n">
        <x:v>0.1</x:v>
      </x:c>
      <x:c r="J314" s="19" t="n">
        <x:v>2</x:v>
      </x:c>
      <x:c r="K314" s="19" t="n">
        <x:f>E314*G314</x:f>
        <x:v>60</x:v>
      </x:c>
      <x:c r="L314" s="19" t="n">
        <x:f>K314*I314</x:f>
        <x:v>6</x:v>
      </x:c>
      <x:c r="M314" s="19" t="n">
        <x:f>(E314-F314)*G314*(1-I314)</x:f>
        <x:v>54</x:v>
      </x:c>
      <x:c r="N314" s="19" t="n">
        <x:f>(E314-F314)*H314</x:f>
        <x:v>24</x:v>
      </x:c>
      <x:c r="O314" s="19" t="n">
        <x:f>F314*J314</x:f>
        <x:v>0</x:v>
      </x:c>
      <x:c r="P314" s="19" t="n">
        <x:f>M314-N314-O314</x:f>
        <x:v>30</x:v>
      </x:c>
    </x:row>
    <x:row r="315">
      <x:c r="A315" s="15" t="str">
        <x:v>SIM-0311</x:v>
      </x:c>
      <x:c r="B315" s="15" t="str">
        <x:v>2026-02</x:v>
      </x:c>
      <x:c r="C315" s="15" t="str">
        <x:v>Calzado</x:v>
      </x:c>
      <x:c r="D315" s="15" t="str">
        <x:v>Online</x:v>
      </x:c>
      <x:c r="E315" s="15" t="n">
        <x:v>1</x:v>
      </x:c>
      <x:c r="F315" s="15" t="n">
        <x:v>0</x:v>
      </x:c>
      <x:c r="G315" s="19" t="n">
        <x:v>90</x:v>
      </x:c>
      <x:c r="H315" s="19" t="n">
        <x:v>42</x:v>
      </x:c>
      <x:c r="I315" s="17" t="n">
        <x:v>0.1</x:v>
      </x:c>
      <x:c r="J315" s="19" t="n">
        <x:v>6</x:v>
      </x:c>
      <x:c r="K315" s="19" t="n">
        <x:f>E315*G315</x:f>
        <x:v>90</x:v>
      </x:c>
      <x:c r="L315" s="19" t="n">
        <x:f>K315*I315</x:f>
        <x:v>9</x:v>
      </x:c>
      <x:c r="M315" s="19" t="n">
        <x:f>(E315-F315)*G315*(1-I315)</x:f>
        <x:v>81</x:v>
      </x:c>
      <x:c r="N315" s="19" t="n">
        <x:f>(E315-F315)*H315</x:f>
        <x:v>42</x:v>
      </x:c>
      <x:c r="O315" s="19" t="n">
        <x:f>F315*J315</x:f>
        <x:v>0</x:v>
      </x:c>
      <x:c r="P315" s="19" t="n">
        <x:f>M315-N315-O315</x:f>
        <x:v>39</x:v>
      </x:c>
    </x:row>
    <x:row r="316">
      <x:c r="A316" s="15" t="str">
        <x:v>SIM-0312</x:v>
      </x:c>
      <x:c r="B316" s="15" t="str">
        <x:v>2026-02</x:v>
      </x:c>
      <x:c r="C316" s="15" t="str">
        <x:v>Prendas</x:v>
      </x:c>
      <x:c r="D316" s="15" t="str">
        <x:v>Tienda</x:v>
      </x:c>
      <x:c r="E316" s="15" t="n">
        <x:v>1</x:v>
      </x:c>
      <x:c r="F316" s="15" t="n">
        <x:v>0</x:v>
      </x:c>
      <x:c r="G316" s="19" t="n">
        <x:v>60</x:v>
      </x:c>
      <x:c r="H316" s="19" t="n">
        <x:v>24</x:v>
      </x:c>
      <x:c r="I316" s="17" t="n">
        <x:v>0.2</x:v>
      </x:c>
      <x:c r="J316" s="19" t="n">
        <x:v>2</x:v>
      </x:c>
      <x:c r="K316" s="19" t="n">
        <x:f>E316*G316</x:f>
        <x:v>60</x:v>
      </x:c>
      <x:c r="L316" s="19" t="n">
        <x:f>K316*I316</x:f>
        <x:v>12</x:v>
      </x:c>
      <x:c r="M316" s="19" t="n">
        <x:f>(E316-F316)*G316*(1-I316)</x:f>
        <x:v>48</x:v>
      </x:c>
      <x:c r="N316" s="19" t="n">
        <x:f>(E316-F316)*H316</x:f>
        <x:v>24</x:v>
      </x:c>
      <x:c r="O316" s="19" t="n">
        <x:f>F316*J316</x:f>
        <x:v>0</x:v>
      </x:c>
      <x:c r="P316" s="19" t="n">
        <x:f>M316-N316-O316</x:f>
        <x:v>24</x:v>
      </x:c>
    </x:row>
    <x:row r="317">
      <x:c r="A317" s="15" t="str">
        <x:v>SIM-0313</x:v>
      </x:c>
      <x:c r="B317" s="15" t="str">
        <x:v>2026-02</x:v>
      </x:c>
      <x:c r="C317" s="15" t="str">
        <x:v>Calzado</x:v>
      </x:c>
      <x:c r="D317" s="15" t="str">
        <x:v>Online</x:v>
      </x:c>
      <x:c r="E317" s="15" t="n">
        <x:v>1</x:v>
      </x:c>
      <x:c r="F317" s="15" t="n">
        <x:v>0</x:v>
      </x:c>
      <x:c r="G317" s="19" t="n">
        <x:v>90</x:v>
      </x:c>
      <x:c r="H317" s="19" t="n">
        <x:v>42</x:v>
      </x:c>
      <x:c r="I317" s="17" t="n">
        <x:v>0.1</x:v>
      </x:c>
      <x:c r="J317" s="19" t="n">
        <x:v>6</x:v>
      </x:c>
      <x:c r="K317" s="19" t="n">
        <x:f>E317*G317</x:f>
        <x:v>90</x:v>
      </x:c>
      <x:c r="L317" s="19" t="n">
        <x:f>K317*I317</x:f>
        <x:v>9</x:v>
      </x:c>
      <x:c r="M317" s="19" t="n">
        <x:f>(E317-F317)*G317*(1-I317)</x:f>
        <x:v>81</x:v>
      </x:c>
      <x:c r="N317" s="19" t="n">
        <x:f>(E317-F317)*H317</x:f>
        <x:v>42</x:v>
      </x:c>
      <x:c r="O317" s="19" t="n">
        <x:f>F317*J317</x:f>
        <x:v>0</x:v>
      </x:c>
      <x:c r="P317" s="19" t="n">
        <x:f>M317-N317-O317</x:f>
        <x:v>39</x:v>
      </x:c>
    </x:row>
    <x:row r="318">
      <x:c r="A318" s="15" t="str">
        <x:v>SIM-0314</x:v>
      </x:c>
      <x:c r="B318" s="15" t="str">
        <x:v>2026-02</x:v>
      </x:c>
      <x:c r="C318" s="15" t="str">
        <x:v>Calzado</x:v>
      </x:c>
      <x:c r="D318" s="15" t="str">
        <x:v>Tienda</x:v>
      </x:c>
      <x:c r="E318" s="15" t="n">
        <x:v>1</x:v>
      </x:c>
      <x:c r="F318" s="15" t="n">
        <x:v>0</x:v>
      </x:c>
      <x:c r="G318" s="19" t="n">
        <x:v>90</x:v>
      </x:c>
      <x:c r="H318" s="19" t="n">
        <x:v>42</x:v>
      </x:c>
      <x:c r="I318" s="17" t="n">
        <x:v>0</x:v>
      </x:c>
      <x:c r="J318" s="19" t="n">
        <x:v>2</x:v>
      </x:c>
      <x:c r="K318" s="19" t="n">
        <x:f>E318*G318</x:f>
        <x:v>90</x:v>
      </x:c>
      <x:c r="L318" s="19" t="n">
        <x:f>K318*I318</x:f>
        <x:v>0</x:v>
      </x:c>
      <x:c r="M318" s="19" t="n">
        <x:f>(E318-F318)*G318*(1-I318)</x:f>
        <x:v>90</x:v>
      </x:c>
      <x:c r="N318" s="19" t="n">
        <x:f>(E318-F318)*H318</x:f>
        <x:v>42</x:v>
      </x:c>
      <x:c r="O318" s="19" t="n">
        <x:f>F318*J318</x:f>
        <x:v>0</x:v>
      </x:c>
      <x:c r="P318" s="19" t="n">
        <x:f>M318-N318-O318</x:f>
        <x:v>48</x:v>
      </x:c>
    </x:row>
    <x:row r="319">
      <x:c r="A319" s="15" t="str">
        <x:v>SIM-0315</x:v>
      </x:c>
      <x:c r="B319" s="15" t="str">
        <x:v>2026-02</x:v>
      </x:c>
      <x:c r="C319" s="15" t="str">
        <x:v>Prendas</x:v>
      </x:c>
      <x:c r="D319" s="15" t="str">
        <x:v>Tienda</x:v>
      </x:c>
      <x:c r="E319" s="15" t="n">
        <x:v>3</x:v>
      </x:c>
      <x:c r="F319" s="15" t="n">
        <x:v>0</x:v>
      </x:c>
      <x:c r="G319" s="19" t="n">
        <x:v>60</x:v>
      </x:c>
      <x:c r="H319" s="19" t="n">
        <x:v>24</x:v>
      </x:c>
      <x:c r="I319" s="17" t="n">
        <x:v>0.3</x:v>
      </x:c>
      <x:c r="J319" s="19" t="n">
        <x:v>2</x:v>
      </x:c>
      <x:c r="K319" s="19" t="n">
        <x:f>E319*G319</x:f>
        <x:v>180</x:v>
      </x:c>
      <x:c r="L319" s="19" t="n">
        <x:f>K319*I319</x:f>
        <x:v>54</x:v>
      </x:c>
      <x:c r="M319" s="19" t="n">
        <x:f>(E319-F319)*G319*(1-I319)</x:f>
        <x:v>125.99999999999999</x:v>
      </x:c>
      <x:c r="N319" s="19" t="n">
        <x:f>(E319-F319)*H319</x:f>
        <x:v>72</x:v>
      </x:c>
      <x:c r="O319" s="19" t="n">
        <x:f>F319*J319</x:f>
        <x:v>0</x:v>
      </x:c>
      <x:c r="P319" s="19" t="n">
        <x:f>M319-N319-O319</x:f>
        <x:v>53.999999999999986</x:v>
      </x:c>
    </x:row>
    <x:row r="320">
      <x:c r="A320" s="15" t="str">
        <x:v>SIM-0316</x:v>
      </x:c>
      <x:c r="B320" s="15" t="str">
        <x:v>2026-02</x:v>
      </x:c>
      <x:c r="C320" s="15" t="str">
        <x:v>Prendas</x:v>
      </x:c>
      <x:c r="D320" s="15" t="str">
        <x:v>Online</x:v>
      </x:c>
      <x:c r="E320" s="15" t="n">
        <x:v>1</x:v>
      </x:c>
      <x:c r="F320" s="15" t="n">
        <x:v>0</x:v>
      </x:c>
      <x:c r="G320" s="19" t="n">
        <x:v>60</x:v>
      </x:c>
      <x:c r="H320" s="19" t="n">
        <x:v>24</x:v>
      </x:c>
      <x:c r="I320" s="17" t="n">
        <x:v>0</x:v>
      </x:c>
      <x:c r="J320" s="19" t="n">
        <x:v>6</x:v>
      </x:c>
      <x:c r="K320" s="19" t="n">
        <x:f>E320*G320</x:f>
        <x:v>60</x:v>
      </x:c>
      <x:c r="L320" s="19" t="n">
        <x:f>K320*I320</x:f>
        <x:v>0</x:v>
      </x:c>
      <x:c r="M320" s="19" t="n">
        <x:f>(E320-F320)*G320*(1-I320)</x:f>
        <x:v>60</x:v>
      </x:c>
      <x:c r="N320" s="19" t="n">
        <x:f>(E320-F320)*H320</x:f>
        <x:v>24</x:v>
      </x:c>
      <x:c r="O320" s="19" t="n">
        <x:f>F320*J320</x:f>
        <x:v>0</x:v>
      </x:c>
      <x:c r="P320" s="19" t="n">
        <x:f>M320-N320-O320</x:f>
        <x:v>36</x:v>
      </x:c>
    </x:row>
    <x:row r="321">
      <x:c r="A321" s="15" t="str">
        <x:v>SIM-0317</x:v>
      </x:c>
      <x:c r="B321" s="15" t="str">
        <x:v>2026-02</x:v>
      </x:c>
      <x:c r="C321" s="15" t="str">
        <x:v>Calzado</x:v>
      </x:c>
      <x:c r="D321" s="15" t="str">
        <x:v>Online</x:v>
      </x:c>
      <x:c r="E321" s="15" t="n">
        <x:v>3</x:v>
      </x:c>
      <x:c r="F321" s="15" t="n">
        <x:v>1</x:v>
      </x:c>
      <x:c r="G321" s="19" t="n">
        <x:v>90</x:v>
      </x:c>
      <x:c r="H321" s="19" t="n">
        <x:v>42</x:v>
      </x:c>
      <x:c r="I321" s="17" t="n">
        <x:v>0.3</x:v>
      </x:c>
      <x:c r="J321" s="19" t="n">
        <x:v>6</x:v>
      </x:c>
      <x:c r="K321" s="19" t="n">
        <x:f>E321*G321</x:f>
        <x:v>270</x:v>
      </x:c>
      <x:c r="L321" s="19" t="n">
        <x:f>K321*I321</x:f>
        <x:v>81</x:v>
      </x:c>
      <x:c r="M321" s="19" t="n">
        <x:f>(E321-F321)*G321*(1-I321)</x:f>
        <x:v>125.99999999999999</x:v>
      </x:c>
      <x:c r="N321" s="19" t="n">
        <x:f>(E321-F321)*H321</x:f>
        <x:v>84</x:v>
      </x:c>
      <x:c r="O321" s="19" t="n">
        <x:f>F321*J321</x:f>
        <x:v>6</x:v>
      </x:c>
      <x:c r="P321" s="19" t="n">
        <x:f>M321-N321-O321</x:f>
        <x:v>35.999999999999986</x:v>
      </x:c>
    </x:row>
    <x:row r="322">
      <x:c r="A322" s="15" t="str">
        <x:v>SIM-0318</x:v>
      </x:c>
      <x:c r="B322" s="15" t="str">
        <x:v>2026-02</x:v>
      </x:c>
      <x:c r="C322" s="15" t="str">
        <x:v>Prendas</x:v>
      </x:c>
      <x:c r="D322" s="15" t="str">
        <x:v>Tienda</x:v>
      </x:c>
      <x:c r="E322" s="15" t="n">
        <x:v>1</x:v>
      </x:c>
      <x:c r="F322" s="15" t="n">
        <x:v>0</x:v>
      </x:c>
      <x:c r="G322" s="19" t="n">
        <x:v>60</x:v>
      </x:c>
      <x:c r="H322" s="19" t="n">
        <x:v>24</x:v>
      </x:c>
      <x:c r="I322" s="17" t="n">
        <x:v>0</x:v>
      </x:c>
      <x:c r="J322" s="19" t="n">
        <x:v>2</x:v>
      </x:c>
      <x:c r="K322" s="19" t="n">
        <x:f>E322*G322</x:f>
        <x:v>60</x:v>
      </x:c>
      <x:c r="L322" s="19" t="n">
        <x:f>K322*I322</x:f>
        <x:v>0</x:v>
      </x:c>
      <x:c r="M322" s="19" t="n">
        <x:f>(E322-F322)*G322*(1-I322)</x:f>
        <x:v>60</x:v>
      </x:c>
      <x:c r="N322" s="19" t="n">
        <x:f>(E322-F322)*H322</x:f>
        <x:v>24</x:v>
      </x:c>
      <x:c r="O322" s="19" t="n">
        <x:f>F322*J322</x:f>
        <x:v>0</x:v>
      </x:c>
      <x:c r="P322" s="19" t="n">
        <x:f>M322-N322-O322</x:f>
        <x:v>36</x:v>
      </x:c>
    </x:row>
    <x:row r="323">
      <x:c r="A323" s="15" t="str">
        <x:v>SIM-0319</x:v>
      </x:c>
      <x:c r="B323" s="15" t="str">
        <x:v>2026-02</x:v>
      </x:c>
      <x:c r="C323" s="15" t="str">
        <x:v>Prendas</x:v>
      </x:c>
      <x:c r="D323" s="15" t="str">
        <x:v>Tienda</x:v>
      </x:c>
      <x:c r="E323" s="15" t="n">
        <x:v>3</x:v>
      </x:c>
      <x:c r="F323" s="15" t="n">
        <x:v>0</x:v>
      </x:c>
      <x:c r="G323" s="19" t="n">
        <x:v>60</x:v>
      </x:c>
      <x:c r="H323" s="19" t="n">
        <x:v>24</x:v>
      </x:c>
      <x:c r="I323" s="17" t="n">
        <x:v>0.3</x:v>
      </x:c>
      <x:c r="J323" s="19" t="n">
        <x:v>2</x:v>
      </x:c>
      <x:c r="K323" s="19" t="n">
        <x:f>E323*G323</x:f>
        <x:v>180</x:v>
      </x:c>
      <x:c r="L323" s="19" t="n">
        <x:f>K323*I323</x:f>
        <x:v>54</x:v>
      </x:c>
      <x:c r="M323" s="19" t="n">
        <x:f>(E323-F323)*G323*(1-I323)</x:f>
        <x:v>125.99999999999999</x:v>
      </x:c>
      <x:c r="N323" s="19" t="n">
        <x:f>(E323-F323)*H323</x:f>
        <x:v>72</x:v>
      </x:c>
      <x:c r="O323" s="19" t="n">
        <x:f>F323*J323</x:f>
        <x:v>0</x:v>
      </x:c>
      <x:c r="P323" s="19" t="n">
        <x:f>M323-N323-O323</x:f>
        <x:v>53.999999999999986</x:v>
      </x:c>
    </x:row>
    <x:row r="324">
      <x:c r="A324" s="15" t="str">
        <x:v>SIM-0320</x:v>
      </x:c>
      <x:c r="B324" s="15" t="str">
        <x:v>2026-02</x:v>
      </x:c>
      <x:c r="C324" s="15" t="str">
        <x:v>Prendas</x:v>
      </x:c>
      <x:c r="D324" s="15" t="str">
        <x:v>Tienda</x:v>
      </x:c>
      <x:c r="E324" s="15" t="n">
        <x:v>1</x:v>
      </x:c>
      <x:c r="F324" s="15" t="n">
        <x:v>0</x:v>
      </x:c>
      <x:c r="G324" s="19" t="n">
        <x:v>60</x:v>
      </x:c>
      <x:c r="H324" s="19" t="n">
        <x:v>24</x:v>
      </x:c>
      <x:c r="I324" s="17" t="n">
        <x:v>0</x:v>
      </x:c>
      <x:c r="J324" s="19" t="n">
        <x:v>2</x:v>
      </x:c>
      <x:c r="K324" s="19" t="n">
        <x:f>E324*G324</x:f>
        <x:v>60</x:v>
      </x:c>
      <x:c r="L324" s="19" t="n">
        <x:f>K324*I324</x:f>
        <x:v>0</x:v>
      </x:c>
      <x:c r="M324" s="19" t="n">
        <x:f>(E324-F324)*G324*(1-I324)</x:f>
        <x:v>60</x:v>
      </x:c>
      <x:c r="N324" s="19" t="n">
        <x:f>(E324-F324)*H324</x:f>
        <x:v>24</x:v>
      </x:c>
      <x:c r="O324" s="19" t="n">
        <x:f>F324*J324</x:f>
        <x:v>0</x:v>
      </x:c>
      <x:c r="P324" s="19" t="n">
        <x:f>M324-N324-O324</x:f>
        <x:v>36</x:v>
      </x:c>
    </x:row>
    <x:row r="325">
      <x:c r="A325" s="15" t="str">
        <x:v>SIM-0321</x:v>
      </x:c>
      <x:c r="B325" s="15" t="str">
        <x:v>2026-02</x:v>
      </x:c>
      <x:c r="C325" s="15" t="str">
        <x:v>Prendas</x:v>
      </x:c>
      <x:c r="D325" s="15" t="str">
        <x:v>Tienda</x:v>
      </x:c>
      <x:c r="E325" s="15" t="n">
        <x:v>1</x:v>
      </x:c>
      <x:c r="F325" s="15" t="n">
        <x:v>0</x:v>
      </x:c>
      <x:c r="G325" s="19" t="n">
        <x:v>60</x:v>
      </x:c>
      <x:c r="H325" s="19" t="n">
        <x:v>24</x:v>
      </x:c>
      <x:c r="I325" s="17" t="n">
        <x:v>0</x:v>
      </x:c>
      <x:c r="J325" s="19" t="n">
        <x:v>2</x:v>
      </x:c>
      <x:c r="K325" s="19" t="n">
        <x:f>E325*G325</x:f>
        <x:v>60</x:v>
      </x:c>
      <x:c r="L325" s="19" t="n">
        <x:f>K325*I325</x:f>
        <x:v>0</x:v>
      </x:c>
      <x:c r="M325" s="19" t="n">
        <x:f>(E325-F325)*G325*(1-I325)</x:f>
        <x:v>60</x:v>
      </x:c>
      <x:c r="N325" s="19" t="n">
        <x:f>(E325-F325)*H325</x:f>
        <x:v>24</x:v>
      </x:c>
      <x:c r="O325" s="19" t="n">
        <x:f>F325*J325</x:f>
        <x:v>0</x:v>
      </x:c>
      <x:c r="P325" s="19" t="n">
        <x:f>M325-N325-O325</x:f>
        <x:v>36</x:v>
      </x:c>
    </x:row>
    <x:row r="326">
      <x:c r="A326" s="15" t="str">
        <x:v>SIM-0322</x:v>
      </x:c>
      <x:c r="B326" s="15" t="str">
        <x:v>2026-02</x:v>
      </x:c>
      <x:c r="C326" s="15" t="str">
        <x:v>Accesorios</x:v>
      </x:c>
      <x:c r="D326" s="15" t="str">
        <x:v>Tienda</x:v>
      </x:c>
      <x:c r="E326" s="15" t="n">
        <x:v>1</x:v>
      </x:c>
      <x:c r="F326" s="15" t="n">
        <x:v>0</x:v>
      </x:c>
      <x:c r="G326" s="19" t="n">
        <x:v>30</x:v>
      </x:c>
      <x:c r="H326" s="19" t="n">
        <x:v>9</x:v>
      </x:c>
      <x:c r="I326" s="17" t="n">
        <x:v>0.1</x:v>
      </x:c>
      <x:c r="J326" s="19" t="n">
        <x:v>2</x:v>
      </x:c>
      <x:c r="K326" s="19" t="n">
        <x:f>E326*G326</x:f>
        <x:v>30</x:v>
      </x:c>
      <x:c r="L326" s="19" t="n">
        <x:f>K326*I326</x:f>
        <x:v>3</x:v>
      </x:c>
      <x:c r="M326" s="19" t="n">
        <x:f>(E326-F326)*G326*(1-I326)</x:f>
        <x:v>27</x:v>
      </x:c>
      <x:c r="N326" s="19" t="n">
        <x:f>(E326-F326)*H326</x:f>
        <x:v>9</x:v>
      </x:c>
      <x:c r="O326" s="19" t="n">
        <x:f>F326*J326</x:f>
        <x:v>0</x:v>
      </x:c>
      <x:c r="P326" s="19" t="n">
        <x:f>M326-N326-O326</x:f>
        <x:v>18</x:v>
      </x:c>
    </x:row>
    <x:row r="327">
      <x:c r="A327" s="15" t="str">
        <x:v>SIM-0323</x:v>
      </x:c>
      <x:c r="B327" s="15" t="str">
        <x:v>2026-02</x:v>
      </x:c>
      <x:c r="C327" s="15" t="str">
        <x:v>Prendas</x:v>
      </x:c>
      <x:c r="D327" s="15" t="str">
        <x:v>Online</x:v>
      </x:c>
      <x:c r="E327" s="15" t="n">
        <x:v>1</x:v>
      </x:c>
      <x:c r="F327" s="15" t="n">
        <x:v>0</x:v>
      </x:c>
      <x:c r="G327" s="19" t="n">
        <x:v>60</x:v>
      </x:c>
      <x:c r="H327" s="19" t="n">
        <x:v>24</x:v>
      </x:c>
      <x:c r="I327" s="17" t="n">
        <x:v>0.1</x:v>
      </x:c>
      <x:c r="J327" s="19" t="n">
        <x:v>6</x:v>
      </x:c>
      <x:c r="K327" s="19" t="n">
        <x:f>E327*G327</x:f>
        <x:v>60</x:v>
      </x:c>
      <x:c r="L327" s="19" t="n">
        <x:f>K327*I327</x:f>
        <x:v>6</x:v>
      </x:c>
      <x:c r="M327" s="19" t="n">
        <x:f>(E327-F327)*G327*(1-I327)</x:f>
        <x:v>54</x:v>
      </x:c>
      <x:c r="N327" s="19" t="n">
        <x:f>(E327-F327)*H327</x:f>
        <x:v>24</x:v>
      </x:c>
      <x:c r="O327" s="19" t="n">
        <x:f>F327*J327</x:f>
        <x:v>0</x:v>
      </x:c>
      <x:c r="P327" s="19" t="n">
        <x:f>M327-N327-O327</x:f>
        <x:v>30</x:v>
      </x:c>
    </x:row>
    <x:row r="328">
      <x:c r="A328" s="15" t="str">
        <x:v>SIM-0324</x:v>
      </x:c>
      <x:c r="B328" s="15" t="str">
        <x:v>2026-02</x:v>
      </x:c>
      <x:c r="C328" s="15" t="str">
        <x:v>Prendas</x:v>
      </x:c>
      <x:c r="D328" s="15" t="str">
        <x:v>Tienda</x:v>
      </x:c>
      <x:c r="E328" s="15" t="n">
        <x:v>1</x:v>
      </x:c>
      <x:c r="F328" s="15" t="n">
        <x:v>0</x:v>
      </x:c>
      <x:c r="G328" s="19" t="n">
        <x:v>60</x:v>
      </x:c>
      <x:c r="H328" s="19" t="n">
        <x:v>24</x:v>
      </x:c>
      <x:c r="I328" s="17" t="n">
        <x:v>0.3</x:v>
      </x:c>
      <x:c r="J328" s="19" t="n">
        <x:v>2</x:v>
      </x:c>
      <x:c r="K328" s="19" t="n">
        <x:f>E328*G328</x:f>
        <x:v>60</x:v>
      </x:c>
      <x:c r="L328" s="19" t="n">
        <x:f>K328*I328</x:f>
        <x:v>18</x:v>
      </x:c>
      <x:c r="M328" s="19" t="n">
        <x:f>(E328-F328)*G328*(1-I328)</x:f>
        <x:v>42</x:v>
      </x:c>
      <x:c r="N328" s="19" t="n">
        <x:f>(E328-F328)*H328</x:f>
        <x:v>24</x:v>
      </x:c>
      <x:c r="O328" s="19" t="n">
        <x:f>F328*J328</x:f>
        <x:v>0</x:v>
      </x:c>
      <x:c r="P328" s="19" t="n">
        <x:f>M328-N328-O328</x:f>
        <x:v>18</x:v>
      </x:c>
    </x:row>
    <x:row r="329">
      <x:c r="A329" s="15" t="str">
        <x:v>SIM-0325</x:v>
      </x:c>
      <x:c r="B329" s="15" t="str">
        <x:v>2026-02</x:v>
      </x:c>
      <x:c r="C329" s="15" t="str">
        <x:v>Prendas</x:v>
      </x:c>
      <x:c r="D329" s="15" t="str">
        <x:v>Tienda</x:v>
      </x:c>
      <x:c r="E329" s="15" t="n">
        <x:v>1</x:v>
      </x:c>
      <x:c r="F329" s="15" t="n">
        <x:v>0</x:v>
      </x:c>
      <x:c r="G329" s="19" t="n">
        <x:v>60</x:v>
      </x:c>
      <x:c r="H329" s="19" t="n">
        <x:v>24</x:v>
      </x:c>
      <x:c r="I329" s="17" t="n">
        <x:v>0</x:v>
      </x:c>
      <x:c r="J329" s="19" t="n">
        <x:v>2</x:v>
      </x:c>
      <x:c r="K329" s="19" t="n">
        <x:f>E329*G329</x:f>
        <x:v>60</x:v>
      </x:c>
      <x:c r="L329" s="19" t="n">
        <x:f>K329*I329</x:f>
        <x:v>0</x:v>
      </x:c>
      <x:c r="M329" s="19" t="n">
        <x:f>(E329-F329)*G329*(1-I329)</x:f>
        <x:v>60</x:v>
      </x:c>
      <x:c r="N329" s="19" t="n">
        <x:f>(E329-F329)*H329</x:f>
        <x:v>24</x:v>
      </x:c>
      <x:c r="O329" s="19" t="n">
        <x:f>F329*J329</x:f>
        <x:v>0</x:v>
      </x:c>
      <x:c r="P329" s="19" t="n">
        <x:f>M329-N329-O329</x:f>
        <x:v>36</x:v>
      </x:c>
    </x:row>
    <x:row r="330">
      <x:c r="A330" s="15" t="str">
        <x:v>SIM-0326</x:v>
      </x:c>
      <x:c r="B330" s="15" t="str">
        <x:v>2026-02</x:v>
      </x:c>
      <x:c r="C330" s="15" t="str">
        <x:v>Prendas</x:v>
      </x:c>
      <x:c r="D330" s="15" t="str">
        <x:v>Online</x:v>
      </x:c>
      <x:c r="E330" s="15" t="n">
        <x:v>1</x:v>
      </x:c>
      <x:c r="F330" s="15" t="n">
        <x:v>0</x:v>
      </x:c>
      <x:c r="G330" s="19" t="n">
        <x:v>60</x:v>
      </x:c>
      <x:c r="H330" s="19" t="n">
        <x:v>24</x:v>
      </x:c>
      <x:c r="I330" s="17" t="n">
        <x:v>0.1</x:v>
      </x:c>
      <x:c r="J330" s="19" t="n">
        <x:v>6</x:v>
      </x:c>
      <x:c r="K330" s="19" t="n">
        <x:f>E330*G330</x:f>
        <x:v>60</x:v>
      </x:c>
      <x:c r="L330" s="19" t="n">
        <x:f>K330*I330</x:f>
        <x:v>6</x:v>
      </x:c>
      <x:c r="M330" s="19" t="n">
        <x:f>(E330-F330)*G330*(1-I330)</x:f>
        <x:v>54</x:v>
      </x:c>
      <x:c r="N330" s="19" t="n">
        <x:f>(E330-F330)*H330</x:f>
        <x:v>24</x:v>
      </x:c>
      <x:c r="O330" s="19" t="n">
        <x:f>F330*J330</x:f>
        <x:v>0</x:v>
      </x:c>
      <x:c r="P330" s="19" t="n">
        <x:f>M330-N330-O330</x:f>
        <x:v>30</x:v>
      </x:c>
    </x:row>
    <x:row r="331">
      <x:c r="A331" s="15" t="str">
        <x:v>SIM-0327</x:v>
      </x:c>
      <x:c r="B331" s="15" t="str">
        <x:v>2026-02</x:v>
      </x:c>
      <x:c r="C331" s="15" t="str">
        <x:v>Accesorios</x:v>
      </x:c>
      <x:c r="D331" s="15" t="str">
        <x:v>Online</x:v>
      </x:c>
      <x:c r="E331" s="15" t="n">
        <x:v>2</x:v>
      </x:c>
      <x:c r="F331" s="15" t="n">
        <x:v>0</x:v>
      </x:c>
      <x:c r="G331" s="19" t="n">
        <x:v>30</x:v>
      </x:c>
      <x:c r="H331" s="19" t="n">
        <x:v>9</x:v>
      </x:c>
      <x:c r="I331" s="17" t="n">
        <x:v>0</x:v>
      </x:c>
      <x:c r="J331" s="19" t="n">
        <x:v>6</x:v>
      </x:c>
      <x:c r="K331" s="19" t="n">
        <x:f>E331*G331</x:f>
        <x:v>60</x:v>
      </x:c>
      <x:c r="L331" s="19" t="n">
        <x:f>K331*I331</x:f>
        <x:v>0</x:v>
      </x:c>
      <x:c r="M331" s="19" t="n">
        <x:f>(E331-F331)*G331*(1-I331)</x:f>
        <x:v>60</x:v>
      </x:c>
      <x:c r="N331" s="19" t="n">
        <x:f>(E331-F331)*H331</x:f>
        <x:v>18</x:v>
      </x:c>
      <x:c r="O331" s="19" t="n">
        <x:f>F331*J331</x:f>
        <x:v>0</x:v>
      </x:c>
      <x:c r="P331" s="19" t="n">
        <x:f>M331-N331-O331</x:f>
        <x:v>42</x:v>
      </x:c>
    </x:row>
    <x:row r="332">
      <x:c r="A332" s="15" t="str">
        <x:v>SIM-0328</x:v>
      </x:c>
      <x:c r="B332" s="15" t="str">
        <x:v>2026-02</x:v>
      </x:c>
      <x:c r="C332" s="15" t="str">
        <x:v>Calzado</x:v>
      </x:c>
      <x:c r="D332" s="15" t="str">
        <x:v>Tienda</x:v>
      </x:c>
      <x:c r="E332" s="15" t="n">
        <x:v>1</x:v>
      </x:c>
      <x:c r="F332" s="15" t="n">
        <x:v>0</x:v>
      </x:c>
      <x:c r="G332" s="19" t="n">
        <x:v>90</x:v>
      </x:c>
      <x:c r="H332" s="19" t="n">
        <x:v>42</x:v>
      </x:c>
      <x:c r="I332" s="17" t="n">
        <x:v>0.1</x:v>
      </x:c>
      <x:c r="J332" s="19" t="n">
        <x:v>2</x:v>
      </x:c>
      <x:c r="K332" s="19" t="n">
        <x:f>E332*G332</x:f>
        <x:v>90</x:v>
      </x:c>
      <x:c r="L332" s="19" t="n">
        <x:f>K332*I332</x:f>
        <x:v>9</x:v>
      </x:c>
      <x:c r="M332" s="19" t="n">
        <x:f>(E332-F332)*G332*(1-I332)</x:f>
        <x:v>81</x:v>
      </x:c>
      <x:c r="N332" s="19" t="n">
        <x:f>(E332-F332)*H332</x:f>
        <x:v>42</x:v>
      </x:c>
      <x:c r="O332" s="19" t="n">
        <x:f>F332*J332</x:f>
        <x:v>0</x:v>
      </x:c>
      <x:c r="P332" s="19" t="n">
        <x:f>M332-N332-O332</x:f>
        <x:v>39</x:v>
      </x:c>
    </x:row>
    <x:row r="333">
      <x:c r="A333" s="15" t="str">
        <x:v>SIM-0329</x:v>
      </x:c>
      <x:c r="B333" s="15" t="str">
        <x:v>2026-02</x:v>
      </x:c>
      <x:c r="C333" s="15" t="str">
        <x:v>Prendas</x:v>
      </x:c>
      <x:c r="D333" s="15" t="str">
        <x:v>Online</x:v>
      </x:c>
      <x:c r="E333" s="15" t="n">
        <x:v>1</x:v>
      </x:c>
      <x:c r="F333" s="15" t="n">
        <x:v>0</x:v>
      </x:c>
      <x:c r="G333" s="19" t="n">
        <x:v>60</x:v>
      </x:c>
      <x:c r="H333" s="19" t="n">
        <x:v>24</x:v>
      </x:c>
      <x:c r="I333" s="17" t="n">
        <x:v>0.3</x:v>
      </x:c>
      <x:c r="J333" s="19" t="n">
        <x:v>6</x:v>
      </x:c>
      <x:c r="K333" s="19" t="n">
        <x:f>E333*G333</x:f>
        <x:v>60</x:v>
      </x:c>
      <x:c r="L333" s="19" t="n">
        <x:f>K333*I333</x:f>
        <x:v>18</x:v>
      </x:c>
      <x:c r="M333" s="19" t="n">
        <x:f>(E333-F333)*G333*(1-I333)</x:f>
        <x:v>42</x:v>
      </x:c>
      <x:c r="N333" s="19" t="n">
        <x:f>(E333-F333)*H333</x:f>
        <x:v>24</x:v>
      </x:c>
      <x:c r="O333" s="19" t="n">
        <x:f>F333*J333</x:f>
        <x:v>0</x:v>
      </x:c>
      <x:c r="P333" s="19" t="n">
        <x:f>M333-N333-O333</x:f>
        <x:v>18</x:v>
      </x:c>
    </x:row>
    <x:row r="334">
      <x:c r="A334" s="15" t="str">
        <x:v>SIM-0330</x:v>
      </x:c>
      <x:c r="B334" s="15" t="str">
        <x:v>2026-02</x:v>
      </x:c>
      <x:c r="C334" s="15" t="str">
        <x:v>Prendas</x:v>
      </x:c>
      <x:c r="D334" s="15" t="str">
        <x:v>Tienda</x:v>
      </x:c>
      <x:c r="E334" s="15" t="n">
        <x:v>1</x:v>
      </x:c>
      <x:c r="F334" s="15" t="n">
        <x:v>0</x:v>
      </x:c>
      <x:c r="G334" s="19" t="n">
        <x:v>60</x:v>
      </x:c>
      <x:c r="H334" s="19" t="n">
        <x:v>24</x:v>
      </x:c>
      <x:c r="I334" s="17" t="n">
        <x:v>0.1</x:v>
      </x:c>
      <x:c r="J334" s="19" t="n">
        <x:v>2</x:v>
      </x:c>
      <x:c r="K334" s="19" t="n">
        <x:f>E334*G334</x:f>
        <x:v>60</x:v>
      </x:c>
      <x:c r="L334" s="19" t="n">
        <x:f>K334*I334</x:f>
        <x:v>6</x:v>
      </x:c>
      <x:c r="M334" s="19" t="n">
        <x:f>(E334-F334)*G334*(1-I334)</x:f>
        <x:v>54</x:v>
      </x:c>
      <x:c r="N334" s="19" t="n">
        <x:f>(E334-F334)*H334</x:f>
        <x:v>24</x:v>
      </x:c>
      <x:c r="O334" s="19" t="n">
        <x:f>F334*J334</x:f>
        <x:v>0</x:v>
      </x:c>
      <x:c r="P334" s="19" t="n">
        <x:f>M334-N334-O334</x:f>
        <x:v>30</x:v>
      </x:c>
    </x:row>
    <x:row r="335">
      <x:c r="A335" s="15" t="str">
        <x:v>SIM-0331</x:v>
      </x:c>
      <x:c r="B335" s="15" t="str">
        <x:v>2026-02</x:v>
      </x:c>
      <x:c r="C335" s="15" t="str">
        <x:v>Accesorios</x:v>
      </x:c>
      <x:c r="D335" s="15" t="str">
        <x:v>Tienda</x:v>
      </x:c>
      <x:c r="E335" s="15" t="n">
        <x:v>2</x:v>
      </x:c>
      <x:c r="F335" s="15" t="n">
        <x:v>0</x:v>
      </x:c>
      <x:c r="G335" s="19" t="n">
        <x:v>30</x:v>
      </x:c>
      <x:c r="H335" s="19" t="n">
        <x:v>9</x:v>
      </x:c>
      <x:c r="I335" s="17" t="n">
        <x:v>0.2</x:v>
      </x:c>
      <x:c r="J335" s="19" t="n">
        <x:v>2</x:v>
      </x:c>
      <x:c r="K335" s="19" t="n">
        <x:f>E335*G335</x:f>
        <x:v>60</x:v>
      </x:c>
      <x:c r="L335" s="19" t="n">
        <x:f>K335*I335</x:f>
        <x:v>12</x:v>
      </x:c>
      <x:c r="M335" s="19" t="n">
        <x:f>(E335-F335)*G335*(1-I335)</x:f>
        <x:v>48</x:v>
      </x:c>
      <x:c r="N335" s="19" t="n">
        <x:f>(E335-F335)*H335</x:f>
        <x:v>18</x:v>
      </x:c>
      <x:c r="O335" s="19" t="n">
        <x:f>F335*J335</x:f>
        <x:v>0</x:v>
      </x:c>
      <x:c r="P335" s="19" t="n">
        <x:f>M335-N335-O335</x:f>
        <x:v>30</x:v>
      </x:c>
    </x:row>
    <x:row r="336">
      <x:c r="A336" s="15" t="str">
        <x:v>SIM-0332</x:v>
      </x:c>
      <x:c r="B336" s="15" t="str">
        <x:v>2026-02</x:v>
      </x:c>
      <x:c r="C336" s="15" t="str">
        <x:v>Calzado</x:v>
      </x:c>
      <x:c r="D336" s="15" t="str">
        <x:v>Online</x:v>
      </x:c>
      <x:c r="E336" s="15" t="n">
        <x:v>1</x:v>
      </x:c>
      <x:c r="F336" s="15" t="n">
        <x:v>0</x:v>
      </x:c>
      <x:c r="G336" s="19" t="n">
        <x:v>90</x:v>
      </x:c>
      <x:c r="H336" s="19" t="n">
        <x:v>42</x:v>
      </x:c>
      <x:c r="I336" s="17" t="n">
        <x:v>0.1</x:v>
      </x:c>
      <x:c r="J336" s="19" t="n">
        <x:v>6</x:v>
      </x:c>
      <x:c r="K336" s="19" t="n">
        <x:f>E336*G336</x:f>
        <x:v>90</x:v>
      </x:c>
      <x:c r="L336" s="19" t="n">
        <x:f>K336*I336</x:f>
        <x:v>9</x:v>
      </x:c>
      <x:c r="M336" s="19" t="n">
        <x:f>(E336-F336)*G336*(1-I336)</x:f>
        <x:v>81</x:v>
      </x:c>
      <x:c r="N336" s="19" t="n">
        <x:f>(E336-F336)*H336</x:f>
        <x:v>42</x:v>
      </x:c>
      <x:c r="O336" s="19" t="n">
        <x:f>F336*J336</x:f>
        <x:v>0</x:v>
      </x:c>
      <x:c r="P336" s="19" t="n">
        <x:f>M336-N336-O336</x:f>
        <x:v>39</x:v>
      </x:c>
    </x:row>
    <x:row r="337">
      <x:c r="A337" s="15" t="str">
        <x:v>SIM-0333</x:v>
      </x:c>
      <x:c r="B337" s="15" t="str">
        <x:v>2026-02</x:v>
      </x:c>
      <x:c r="C337" s="15" t="str">
        <x:v>Calzado</x:v>
      </x:c>
      <x:c r="D337" s="15" t="str">
        <x:v>Tienda</x:v>
      </x:c>
      <x:c r="E337" s="15" t="n">
        <x:v>2</x:v>
      </x:c>
      <x:c r="F337" s="15" t="n">
        <x:v>0</x:v>
      </x:c>
      <x:c r="G337" s="19" t="n">
        <x:v>90</x:v>
      </x:c>
      <x:c r="H337" s="19" t="n">
        <x:v>42</x:v>
      </x:c>
      <x:c r="I337" s="17" t="n">
        <x:v>0.1</x:v>
      </x:c>
      <x:c r="J337" s="19" t="n">
        <x:v>2</x:v>
      </x:c>
      <x:c r="K337" s="19" t="n">
        <x:f>E337*G337</x:f>
        <x:v>180</x:v>
      </x:c>
      <x:c r="L337" s="19" t="n">
        <x:f>K337*I337</x:f>
        <x:v>18</x:v>
      </x:c>
      <x:c r="M337" s="19" t="n">
        <x:f>(E337-F337)*G337*(1-I337)</x:f>
        <x:v>162</x:v>
      </x:c>
      <x:c r="N337" s="19" t="n">
        <x:f>(E337-F337)*H337</x:f>
        <x:v>84</x:v>
      </x:c>
      <x:c r="O337" s="19" t="n">
        <x:f>F337*J337</x:f>
        <x:v>0</x:v>
      </x:c>
      <x:c r="P337" s="19" t="n">
        <x:f>M337-N337-O337</x:f>
        <x:v>78</x:v>
      </x:c>
    </x:row>
    <x:row r="338">
      <x:c r="A338" s="15" t="str">
        <x:v>SIM-0334</x:v>
      </x:c>
      <x:c r="B338" s="15" t="str">
        <x:v>2026-02</x:v>
      </x:c>
      <x:c r="C338" s="15" t="str">
        <x:v>Prendas</x:v>
      </x:c>
      <x:c r="D338" s="15" t="str">
        <x:v>Online</x:v>
      </x:c>
      <x:c r="E338" s="15" t="n">
        <x:v>1</x:v>
      </x:c>
      <x:c r="F338" s="15" t="n">
        <x:v>0</x:v>
      </x:c>
      <x:c r="G338" s="19" t="n">
        <x:v>60</x:v>
      </x:c>
      <x:c r="H338" s="19" t="n">
        <x:v>24</x:v>
      </x:c>
      <x:c r="I338" s="17" t="n">
        <x:v>0</x:v>
      </x:c>
      <x:c r="J338" s="19" t="n">
        <x:v>6</x:v>
      </x:c>
      <x:c r="K338" s="19" t="n">
        <x:f>E338*G338</x:f>
        <x:v>60</x:v>
      </x:c>
      <x:c r="L338" s="19" t="n">
        <x:f>K338*I338</x:f>
        <x:v>0</x:v>
      </x:c>
      <x:c r="M338" s="19" t="n">
        <x:f>(E338-F338)*G338*(1-I338)</x:f>
        <x:v>60</x:v>
      </x:c>
      <x:c r="N338" s="19" t="n">
        <x:f>(E338-F338)*H338</x:f>
        <x:v>24</x:v>
      </x:c>
      <x:c r="O338" s="19" t="n">
        <x:f>F338*J338</x:f>
        <x:v>0</x:v>
      </x:c>
      <x:c r="P338" s="19" t="n">
        <x:f>M338-N338-O338</x:f>
        <x:v>36</x:v>
      </x:c>
    </x:row>
    <x:row r="339">
      <x:c r="A339" s="15" t="str">
        <x:v>SIM-0335</x:v>
      </x:c>
      <x:c r="B339" s="15" t="str">
        <x:v>2026-02</x:v>
      </x:c>
      <x:c r="C339" s="15" t="str">
        <x:v>Calzado</x:v>
      </x:c>
      <x:c r="D339" s="15" t="str">
        <x:v>Online</x:v>
      </x:c>
      <x:c r="E339" s="15" t="n">
        <x:v>3</x:v>
      </x:c>
      <x:c r="F339" s="15" t="n">
        <x:v>0</x:v>
      </x:c>
      <x:c r="G339" s="19" t="n">
        <x:v>90</x:v>
      </x:c>
      <x:c r="H339" s="19" t="n">
        <x:v>42</x:v>
      </x:c>
      <x:c r="I339" s="17" t="n">
        <x:v>0.2</x:v>
      </x:c>
      <x:c r="J339" s="19" t="n">
        <x:v>6</x:v>
      </x:c>
      <x:c r="K339" s="19" t="n">
        <x:f>E339*G339</x:f>
        <x:v>270</x:v>
      </x:c>
      <x:c r="L339" s="19" t="n">
        <x:f>K339*I339</x:f>
        <x:v>54</x:v>
      </x:c>
      <x:c r="M339" s="19" t="n">
        <x:f>(E339-F339)*G339*(1-I339)</x:f>
        <x:v>216</x:v>
      </x:c>
      <x:c r="N339" s="19" t="n">
        <x:f>(E339-F339)*H339</x:f>
        <x:v>126</x:v>
      </x:c>
      <x:c r="O339" s="19" t="n">
        <x:f>F339*J339</x:f>
        <x:v>0</x:v>
      </x:c>
      <x:c r="P339" s="19" t="n">
        <x:f>M339-N339-O339</x:f>
        <x:v>90</x:v>
      </x:c>
    </x:row>
    <x:row r="340">
      <x:c r="A340" s="15" t="str">
        <x:v>SIM-0336</x:v>
      </x:c>
      <x:c r="B340" s="15" t="str">
        <x:v>2026-02</x:v>
      </x:c>
      <x:c r="C340" s="15" t="str">
        <x:v>Prendas</x:v>
      </x:c>
      <x:c r="D340" s="15" t="str">
        <x:v>Online</x:v>
      </x:c>
      <x:c r="E340" s="15" t="n">
        <x:v>2</x:v>
      </x:c>
      <x:c r="F340" s="15" t="n">
        <x:v>0</x:v>
      </x:c>
      <x:c r="G340" s="19" t="n">
        <x:v>60</x:v>
      </x:c>
      <x:c r="H340" s="19" t="n">
        <x:v>24</x:v>
      </x:c>
      <x:c r="I340" s="17" t="n">
        <x:v>0</x:v>
      </x:c>
      <x:c r="J340" s="19" t="n">
        <x:v>6</x:v>
      </x:c>
      <x:c r="K340" s="19" t="n">
        <x:f>E340*G340</x:f>
        <x:v>120</x:v>
      </x:c>
      <x:c r="L340" s="19" t="n">
        <x:f>K340*I340</x:f>
        <x:v>0</x:v>
      </x:c>
      <x:c r="M340" s="19" t="n">
        <x:f>(E340-F340)*G340*(1-I340)</x:f>
        <x:v>120</x:v>
      </x:c>
      <x:c r="N340" s="19" t="n">
        <x:f>(E340-F340)*H340</x:f>
        <x:v>48</x:v>
      </x:c>
      <x:c r="O340" s="19" t="n">
        <x:f>F340*J340</x:f>
        <x:v>0</x:v>
      </x:c>
      <x:c r="P340" s="19" t="n">
        <x:f>M340-N340-O340</x:f>
        <x:v>72</x:v>
      </x:c>
    </x:row>
    <x:row r="341">
      <x:c r="A341" s="15" t="str">
        <x:v>SIM-0337</x:v>
      </x:c>
      <x:c r="B341" s="15" t="str">
        <x:v>2026-02</x:v>
      </x:c>
      <x:c r="C341" s="15" t="str">
        <x:v>Calzado</x:v>
      </x:c>
      <x:c r="D341" s="15" t="str">
        <x:v>Online</x:v>
      </x:c>
      <x:c r="E341" s="15" t="n">
        <x:v>1</x:v>
      </x:c>
      <x:c r="F341" s="15" t="n">
        <x:v>0</x:v>
      </x:c>
      <x:c r="G341" s="19" t="n">
        <x:v>90</x:v>
      </x:c>
      <x:c r="H341" s="19" t="n">
        <x:v>42</x:v>
      </x:c>
      <x:c r="I341" s="17" t="n">
        <x:v>0.1</x:v>
      </x:c>
      <x:c r="J341" s="19" t="n">
        <x:v>6</x:v>
      </x:c>
      <x:c r="K341" s="19" t="n">
        <x:f>E341*G341</x:f>
        <x:v>90</x:v>
      </x:c>
      <x:c r="L341" s="19" t="n">
        <x:f>K341*I341</x:f>
        <x:v>9</x:v>
      </x:c>
      <x:c r="M341" s="19" t="n">
        <x:f>(E341-F341)*G341*(1-I341)</x:f>
        <x:v>81</x:v>
      </x:c>
      <x:c r="N341" s="19" t="n">
        <x:f>(E341-F341)*H341</x:f>
        <x:v>42</x:v>
      </x:c>
      <x:c r="O341" s="19" t="n">
        <x:f>F341*J341</x:f>
        <x:v>0</x:v>
      </x:c>
      <x:c r="P341" s="19" t="n">
        <x:f>M341-N341-O341</x:f>
        <x:v>39</x:v>
      </x:c>
    </x:row>
    <x:row r="342">
      <x:c r="A342" s="15" t="str">
        <x:v>SIM-0338</x:v>
      </x:c>
      <x:c r="B342" s="15" t="str">
        <x:v>2026-02</x:v>
      </x:c>
      <x:c r="C342" s="15" t="str">
        <x:v>Accesorios</x:v>
      </x:c>
      <x:c r="D342" s="15" t="str">
        <x:v>Tienda</x:v>
      </x:c>
      <x:c r="E342" s="15" t="n">
        <x:v>1</x:v>
      </x:c>
      <x:c r="F342" s="15" t="n">
        <x:v>1</x:v>
      </x:c>
      <x:c r="G342" s="19" t="n">
        <x:v>30</x:v>
      </x:c>
      <x:c r="H342" s="19" t="n">
        <x:v>9</x:v>
      </x:c>
      <x:c r="I342" s="17" t="n">
        <x:v>0</x:v>
      </x:c>
      <x:c r="J342" s="19" t="n">
        <x:v>2</x:v>
      </x:c>
      <x:c r="K342" s="19" t="n">
        <x:f>E342*G342</x:f>
        <x:v>30</x:v>
      </x:c>
      <x:c r="L342" s="19" t="n">
        <x:f>K342*I342</x:f>
        <x:v>0</x:v>
      </x:c>
      <x:c r="M342" s="19" t="n">
        <x:f>(E342-F342)*G342*(1-I342)</x:f>
        <x:v>0</x:v>
      </x:c>
      <x:c r="N342" s="19" t="n">
        <x:f>(E342-F342)*H342</x:f>
        <x:v>0</x:v>
      </x:c>
      <x:c r="O342" s="19" t="n">
        <x:f>F342*J342</x:f>
        <x:v>2</x:v>
      </x:c>
      <x:c r="P342" s="19" t="n">
        <x:f>M342-N342-O342</x:f>
        <x:v>-2</x:v>
      </x:c>
    </x:row>
    <x:row r="343">
      <x:c r="A343" s="15" t="str">
        <x:v>SIM-0339</x:v>
      </x:c>
      <x:c r="B343" s="15" t="str">
        <x:v>2026-02</x:v>
      </x:c>
      <x:c r="C343" s="15" t="str">
        <x:v>Prendas</x:v>
      </x:c>
      <x:c r="D343" s="15" t="str">
        <x:v>Online</x:v>
      </x:c>
      <x:c r="E343" s="15" t="n">
        <x:v>1</x:v>
      </x:c>
      <x:c r="F343" s="15" t="n">
        <x:v>0</x:v>
      </x:c>
      <x:c r="G343" s="19" t="n">
        <x:v>60</x:v>
      </x:c>
      <x:c r="H343" s="19" t="n">
        <x:v>24</x:v>
      </x:c>
      <x:c r="I343" s="17" t="n">
        <x:v>0</x:v>
      </x:c>
      <x:c r="J343" s="19" t="n">
        <x:v>6</x:v>
      </x:c>
      <x:c r="K343" s="19" t="n">
        <x:f>E343*G343</x:f>
        <x:v>60</x:v>
      </x:c>
      <x:c r="L343" s="19" t="n">
        <x:f>K343*I343</x:f>
        <x:v>0</x:v>
      </x:c>
      <x:c r="M343" s="19" t="n">
        <x:f>(E343-F343)*G343*(1-I343)</x:f>
        <x:v>60</x:v>
      </x:c>
      <x:c r="N343" s="19" t="n">
        <x:f>(E343-F343)*H343</x:f>
        <x:v>24</x:v>
      </x:c>
      <x:c r="O343" s="19" t="n">
        <x:f>F343*J343</x:f>
        <x:v>0</x:v>
      </x:c>
      <x:c r="P343" s="19" t="n">
        <x:f>M343-N343-O343</x:f>
        <x:v>36</x:v>
      </x:c>
    </x:row>
    <x:row r="344">
      <x:c r="A344" s="15" t="str">
        <x:v>SIM-0340</x:v>
      </x:c>
      <x:c r="B344" s="15" t="str">
        <x:v>2026-02</x:v>
      </x:c>
      <x:c r="C344" s="15" t="str">
        <x:v>Calzado</x:v>
      </x:c>
      <x:c r="D344" s="15" t="str">
        <x:v>Tienda</x:v>
      </x:c>
      <x:c r="E344" s="15" t="n">
        <x:v>1</x:v>
      </x:c>
      <x:c r="F344" s="15" t="n">
        <x:v>0</x:v>
      </x:c>
      <x:c r="G344" s="19" t="n">
        <x:v>90</x:v>
      </x:c>
      <x:c r="H344" s="19" t="n">
        <x:v>42</x:v>
      </x:c>
      <x:c r="I344" s="17" t="n">
        <x:v>0.2</x:v>
      </x:c>
      <x:c r="J344" s="19" t="n">
        <x:v>2</x:v>
      </x:c>
      <x:c r="K344" s="19" t="n">
        <x:f>E344*G344</x:f>
        <x:v>90</x:v>
      </x:c>
      <x:c r="L344" s="19" t="n">
        <x:f>K344*I344</x:f>
        <x:v>18</x:v>
      </x:c>
      <x:c r="M344" s="19" t="n">
        <x:f>(E344-F344)*G344*(1-I344)</x:f>
        <x:v>72</x:v>
      </x:c>
      <x:c r="N344" s="19" t="n">
        <x:f>(E344-F344)*H344</x:f>
        <x:v>42</x:v>
      </x:c>
      <x:c r="O344" s="19" t="n">
        <x:f>F344*J344</x:f>
        <x:v>0</x:v>
      </x:c>
      <x:c r="P344" s="19" t="n">
        <x:f>M344-N344-O344</x:f>
        <x:v>30</x:v>
      </x:c>
    </x:row>
    <x:row r="345">
      <x:c r="A345" s="15" t="str">
        <x:v>SIM-0341</x:v>
      </x:c>
      <x:c r="B345" s="15" t="str">
        <x:v>2026-02</x:v>
      </x:c>
      <x:c r="C345" s="15" t="str">
        <x:v>Prendas</x:v>
      </x:c>
      <x:c r="D345" s="15" t="str">
        <x:v>Tienda</x:v>
      </x:c>
      <x:c r="E345" s="15" t="n">
        <x:v>1</x:v>
      </x:c>
      <x:c r="F345" s="15" t="n">
        <x:v>1</x:v>
      </x:c>
      <x:c r="G345" s="19" t="n">
        <x:v>60</x:v>
      </x:c>
      <x:c r="H345" s="19" t="n">
        <x:v>24</x:v>
      </x:c>
      <x:c r="I345" s="17" t="n">
        <x:v>0.2</x:v>
      </x:c>
      <x:c r="J345" s="19" t="n">
        <x:v>2</x:v>
      </x:c>
      <x:c r="K345" s="19" t="n">
        <x:f>E345*G345</x:f>
        <x:v>60</x:v>
      </x:c>
      <x:c r="L345" s="19" t="n">
        <x:f>K345*I345</x:f>
        <x:v>12</x:v>
      </x:c>
      <x:c r="M345" s="19" t="n">
        <x:f>(E345-F345)*G345*(1-I345)</x:f>
        <x:v>0</x:v>
      </x:c>
      <x:c r="N345" s="19" t="n">
        <x:f>(E345-F345)*H345</x:f>
        <x:v>0</x:v>
      </x:c>
      <x:c r="O345" s="19" t="n">
        <x:f>F345*J345</x:f>
        <x:v>2</x:v>
      </x:c>
      <x:c r="P345" s="19" t="n">
        <x:f>M345-N345-O345</x:f>
        <x:v>-2</x:v>
      </x:c>
    </x:row>
    <x:row r="346">
      <x:c r="A346" s="15" t="str">
        <x:v>SIM-0342</x:v>
      </x:c>
      <x:c r="B346" s="15" t="str">
        <x:v>2026-02</x:v>
      </x:c>
      <x:c r="C346" s="15" t="str">
        <x:v>Calzado</x:v>
      </x:c>
      <x:c r="D346" s="15" t="str">
        <x:v>Online</x:v>
      </x:c>
      <x:c r="E346" s="15" t="n">
        <x:v>1</x:v>
      </x:c>
      <x:c r="F346" s="15" t="n">
        <x:v>0</x:v>
      </x:c>
      <x:c r="G346" s="19" t="n">
        <x:v>90</x:v>
      </x:c>
      <x:c r="H346" s="19" t="n">
        <x:v>42</x:v>
      </x:c>
      <x:c r="I346" s="17" t="n">
        <x:v>0</x:v>
      </x:c>
      <x:c r="J346" s="19" t="n">
        <x:v>6</x:v>
      </x:c>
      <x:c r="K346" s="19" t="n">
        <x:f>E346*G346</x:f>
        <x:v>90</x:v>
      </x:c>
      <x:c r="L346" s="19" t="n">
        <x:f>K346*I346</x:f>
        <x:v>0</x:v>
      </x:c>
      <x:c r="M346" s="19" t="n">
        <x:f>(E346-F346)*G346*(1-I346)</x:f>
        <x:v>90</x:v>
      </x:c>
      <x:c r="N346" s="19" t="n">
        <x:f>(E346-F346)*H346</x:f>
        <x:v>42</x:v>
      </x:c>
      <x:c r="O346" s="19" t="n">
        <x:f>F346*J346</x:f>
        <x:v>0</x:v>
      </x:c>
      <x:c r="P346" s="19" t="n">
        <x:f>M346-N346-O346</x:f>
        <x:v>48</x:v>
      </x:c>
    </x:row>
    <x:row r="347">
      <x:c r="A347" s="15" t="str">
        <x:v>SIM-0343</x:v>
      </x:c>
      <x:c r="B347" s="15" t="str">
        <x:v>2026-02</x:v>
      </x:c>
      <x:c r="C347" s="15" t="str">
        <x:v>Prendas</x:v>
      </x:c>
      <x:c r="D347" s="15" t="str">
        <x:v>Online</x:v>
      </x:c>
      <x:c r="E347" s="15" t="n">
        <x:v>1</x:v>
      </x:c>
      <x:c r="F347" s="15" t="n">
        <x:v>0</x:v>
      </x:c>
      <x:c r="G347" s="19" t="n">
        <x:v>60</x:v>
      </x:c>
      <x:c r="H347" s="19" t="n">
        <x:v>24</x:v>
      </x:c>
      <x:c r="I347" s="17" t="n">
        <x:v>0</x:v>
      </x:c>
      <x:c r="J347" s="19" t="n">
        <x:v>6</x:v>
      </x:c>
      <x:c r="K347" s="19" t="n">
        <x:f>E347*G347</x:f>
        <x:v>60</x:v>
      </x:c>
      <x:c r="L347" s="19" t="n">
        <x:f>K347*I347</x:f>
        <x:v>0</x:v>
      </x:c>
      <x:c r="M347" s="19" t="n">
        <x:f>(E347-F347)*G347*(1-I347)</x:f>
        <x:v>60</x:v>
      </x:c>
      <x:c r="N347" s="19" t="n">
        <x:f>(E347-F347)*H347</x:f>
        <x:v>24</x:v>
      </x:c>
      <x:c r="O347" s="19" t="n">
        <x:f>F347*J347</x:f>
        <x:v>0</x:v>
      </x:c>
      <x:c r="P347" s="19" t="n">
        <x:f>M347-N347-O347</x:f>
        <x:v>36</x:v>
      </x:c>
    </x:row>
    <x:row r="348">
      <x:c r="A348" s="15" t="str">
        <x:v>SIM-0344</x:v>
      </x:c>
      <x:c r="B348" s="15" t="str">
        <x:v>2026-02</x:v>
      </x:c>
      <x:c r="C348" s="15" t="str">
        <x:v>Prendas</x:v>
      </x:c>
      <x:c r="D348" s="15" t="str">
        <x:v>Online</x:v>
      </x:c>
      <x:c r="E348" s="15" t="n">
        <x:v>1</x:v>
      </x:c>
      <x:c r="F348" s="15" t="n">
        <x:v>1</x:v>
      </x:c>
      <x:c r="G348" s="19" t="n">
        <x:v>60</x:v>
      </x:c>
      <x:c r="H348" s="19" t="n">
        <x:v>24</x:v>
      </x:c>
      <x:c r="I348" s="17" t="n">
        <x:v>0</x:v>
      </x:c>
      <x:c r="J348" s="19" t="n">
        <x:v>6</x:v>
      </x:c>
      <x:c r="K348" s="19" t="n">
        <x:f>E348*G348</x:f>
        <x:v>60</x:v>
      </x:c>
      <x:c r="L348" s="19" t="n">
        <x:f>K348*I348</x:f>
        <x:v>0</x:v>
      </x:c>
      <x:c r="M348" s="19" t="n">
        <x:f>(E348-F348)*G348*(1-I348)</x:f>
        <x:v>0</x:v>
      </x:c>
      <x:c r="N348" s="19" t="n">
        <x:f>(E348-F348)*H348</x:f>
        <x:v>0</x:v>
      </x:c>
      <x:c r="O348" s="19" t="n">
        <x:f>F348*J348</x:f>
        <x:v>6</x:v>
      </x:c>
      <x:c r="P348" s="19" t="n">
        <x:f>M348-N348-O348</x:f>
        <x:v>-6</x:v>
      </x:c>
    </x:row>
    <x:row r="349">
      <x:c r="A349" s="15" t="str">
        <x:v>SIM-0345</x:v>
      </x:c>
      <x:c r="B349" s="15" t="str">
        <x:v>2026-02</x:v>
      </x:c>
      <x:c r="C349" s="15" t="str">
        <x:v>Accesorios</x:v>
      </x:c>
      <x:c r="D349" s="15" t="str">
        <x:v>Online</x:v>
      </x:c>
      <x:c r="E349" s="15" t="n">
        <x:v>2</x:v>
      </x:c>
      <x:c r="F349" s="15" t="n">
        <x:v>0</x:v>
      </x:c>
      <x:c r="G349" s="19" t="n">
        <x:v>30</x:v>
      </x:c>
      <x:c r="H349" s="19" t="n">
        <x:v>9</x:v>
      </x:c>
      <x:c r="I349" s="17" t="n">
        <x:v>0</x:v>
      </x:c>
      <x:c r="J349" s="19" t="n">
        <x:v>6</x:v>
      </x:c>
      <x:c r="K349" s="19" t="n">
        <x:f>E349*G349</x:f>
        <x:v>60</x:v>
      </x:c>
      <x:c r="L349" s="19" t="n">
        <x:f>K349*I349</x:f>
        <x:v>0</x:v>
      </x:c>
      <x:c r="M349" s="19" t="n">
        <x:f>(E349-F349)*G349*(1-I349)</x:f>
        <x:v>60</x:v>
      </x:c>
      <x:c r="N349" s="19" t="n">
        <x:f>(E349-F349)*H349</x:f>
        <x:v>18</x:v>
      </x:c>
      <x:c r="O349" s="19" t="n">
        <x:f>F349*J349</x:f>
        <x:v>0</x:v>
      </x:c>
      <x:c r="P349" s="19" t="n">
        <x:f>M349-N349-O349</x:f>
        <x:v>42</x:v>
      </x:c>
    </x:row>
    <x:row r="350">
      <x:c r="A350" s="15" t="str">
        <x:v>SIM-0346</x:v>
      </x:c>
      <x:c r="B350" s="15" t="str">
        <x:v>2026-02</x:v>
      </x:c>
      <x:c r="C350" s="15" t="str">
        <x:v>Calzado</x:v>
      </x:c>
      <x:c r="D350" s="15" t="str">
        <x:v>Tienda</x:v>
      </x:c>
      <x:c r="E350" s="15" t="n">
        <x:v>1</x:v>
      </x:c>
      <x:c r="F350" s="15" t="n">
        <x:v>0</x:v>
      </x:c>
      <x:c r="G350" s="19" t="n">
        <x:v>90</x:v>
      </x:c>
      <x:c r="H350" s="19" t="n">
        <x:v>42</x:v>
      </x:c>
      <x:c r="I350" s="17" t="n">
        <x:v>0</x:v>
      </x:c>
      <x:c r="J350" s="19" t="n">
        <x:v>2</x:v>
      </x:c>
      <x:c r="K350" s="19" t="n">
        <x:f>E350*G350</x:f>
        <x:v>90</x:v>
      </x:c>
      <x:c r="L350" s="19" t="n">
        <x:f>K350*I350</x:f>
        <x:v>0</x:v>
      </x:c>
      <x:c r="M350" s="19" t="n">
        <x:f>(E350-F350)*G350*(1-I350)</x:f>
        <x:v>90</x:v>
      </x:c>
      <x:c r="N350" s="19" t="n">
        <x:f>(E350-F350)*H350</x:f>
        <x:v>42</x:v>
      </x:c>
      <x:c r="O350" s="19" t="n">
        <x:f>F350*J350</x:f>
        <x:v>0</x:v>
      </x:c>
      <x:c r="P350" s="19" t="n">
        <x:f>M350-N350-O350</x:f>
        <x:v>48</x:v>
      </x:c>
    </x:row>
    <x:row r="351">
      <x:c r="A351" s="15" t="str">
        <x:v>SIM-0347</x:v>
      </x:c>
      <x:c r="B351" s="15" t="str">
        <x:v>2026-02</x:v>
      </x:c>
      <x:c r="C351" s="15" t="str">
        <x:v>Calzado</x:v>
      </x:c>
      <x:c r="D351" s="15" t="str">
        <x:v>Tienda</x:v>
      </x:c>
      <x:c r="E351" s="15" t="n">
        <x:v>1</x:v>
      </x:c>
      <x:c r="F351" s="15" t="n">
        <x:v>0</x:v>
      </x:c>
      <x:c r="G351" s="19" t="n">
        <x:v>90</x:v>
      </x:c>
      <x:c r="H351" s="19" t="n">
        <x:v>42</x:v>
      </x:c>
      <x:c r="I351" s="17" t="n">
        <x:v>0.1</x:v>
      </x:c>
      <x:c r="J351" s="19" t="n">
        <x:v>2</x:v>
      </x:c>
      <x:c r="K351" s="19" t="n">
        <x:f>E351*G351</x:f>
        <x:v>90</x:v>
      </x:c>
      <x:c r="L351" s="19" t="n">
        <x:f>K351*I351</x:f>
        <x:v>9</x:v>
      </x:c>
      <x:c r="M351" s="19" t="n">
        <x:f>(E351-F351)*G351*(1-I351)</x:f>
        <x:v>81</x:v>
      </x:c>
      <x:c r="N351" s="19" t="n">
        <x:f>(E351-F351)*H351</x:f>
        <x:v>42</x:v>
      </x:c>
      <x:c r="O351" s="19" t="n">
        <x:f>F351*J351</x:f>
        <x:v>0</x:v>
      </x:c>
      <x:c r="P351" s="19" t="n">
        <x:f>M351-N351-O351</x:f>
        <x:v>39</x:v>
      </x:c>
    </x:row>
    <x:row r="352">
      <x:c r="A352" s="15" t="str">
        <x:v>SIM-0348</x:v>
      </x:c>
      <x:c r="B352" s="15" t="str">
        <x:v>2026-02</x:v>
      </x:c>
      <x:c r="C352" s="15" t="str">
        <x:v>Prendas</x:v>
      </x:c>
      <x:c r="D352" s="15" t="str">
        <x:v>Online</x:v>
      </x:c>
      <x:c r="E352" s="15" t="n">
        <x:v>3</x:v>
      </x:c>
      <x:c r="F352" s="15" t="n">
        <x:v>1</x:v>
      </x:c>
      <x:c r="G352" s="19" t="n">
        <x:v>60</x:v>
      </x:c>
      <x:c r="H352" s="19" t="n">
        <x:v>24</x:v>
      </x:c>
      <x:c r="I352" s="17" t="n">
        <x:v>0.3</x:v>
      </x:c>
      <x:c r="J352" s="19" t="n">
        <x:v>6</x:v>
      </x:c>
      <x:c r="K352" s="19" t="n">
        <x:f>E352*G352</x:f>
        <x:v>180</x:v>
      </x:c>
      <x:c r="L352" s="19" t="n">
        <x:f>K352*I352</x:f>
        <x:v>54</x:v>
      </x:c>
      <x:c r="M352" s="19" t="n">
        <x:f>(E352-F352)*G352*(1-I352)</x:f>
        <x:v>84</x:v>
      </x:c>
      <x:c r="N352" s="19" t="n">
        <x:f>(E352-F352)*H352</x:f>
        <x:v>48</x:v>
      </x:c>
      <x:c r="O352" s="19" t="n">
        <x:f>F352*J352</x:f>
        <x:v>6</x:v>
      </x:c>
      <x:c r="P352" s="19" t="n">
        <x:f>M352-N352-O352</x:f>
        <x:v>30</x:v>
      </x:c>
    </x:row>
    <x:row r="353">
      <x:c r="A353" s="15" t="str">
        <x:v>SIM-0349</x:v>
      </x:c>
      <x:c r="B353" s="15" t="str">
        <x:v>2026-02</x:v>
      </x:c>
      <x:c r="C353" s="15" t="str">
        <x:v>Prendas</x:v>
      </x:c>
      <x:c r="D353" s="15" t="str">
        <x:v>Tienda</x:v>
      </x:c>
      <x:c r="E353" s="15" t="n">
        <x:v>1</x:v>
      </x:c>
      <x:c r="F353" s="15" t="n">
        <x:v>0</x:v>
      </x:c>
      <x:c r="G353" s="19" t="n">
        <x:v>60</x:v>
      </x:c>
      <x:c r="H353" s="19" t="n">
        <x:v>24</x:v>
      </x:c>
      <x:c r="I353" s="17" t="n">
        <x:v>0.3</x:v>
      </x:c>
      <x:c r="J353" s="19" t="n">
        <x:v>2</x:v>
      </x:c>
      <x:c r="K353" s="19" t="n">
        <x:f>E353*G353</x:f>
        <x:v>60</x:v>
      </x:c>
      <x:c r="L353" s="19" t="n">
        <x:f>K353*I353</x:f>
        <x:v>18</x:v>
      </x:c>
      <x:c r="M353" s="19" t="n">
        <x:f>(E353-F353)*G353*(1-I353)</x:f>
        <x:v>42</x:v>
      </x:c>
      <x:c r="N353" s="19" t="n">
        <x:f>(E353-F353)*H353</x:f>
        <x:v>24</x:v>
      </x:c>
      <x:c r="O353" s="19" t="n">
        <x:f>F353*J353</x:f>
        <x:v>0</x:v>
      </x:c>
      <x:c r="P353" s="19" t="n">
        <x:f>M353-N353-O353</x:f>
        <x:v>18</x:v>
      </x:c>
    </x:row>
    <x:row r="354">
      <x:c r="A354" s="15" t="str">
        <x:v>SIM-0350</x:v>
      </x:c>
      <x:c r="B354" s="15" t="str">
        <x:v>2026-02</x:v>
      </x:c>
      <x:c r="C354" s="15" t="str">
        <x:v>Prendas</x:v>
      </x:c>
      <x:c r="D354" s="15" t="str">
        <x:v>Tienda</x:v>
      </x:c>
      <x:c r="E354" s="15" t="n">
        <x:v>1</x:v>
      </x:c>
      <x:c r="F354" s="15" t="n">
        <x:v>0</x:v>
      </x:c>
      <x:c r="G354" s="19" t="n">
        <x:v>60</x:v>
      </x:c>
      <x:c r="H354" s="19" t="n">
        <x:v>24</x:v>
      </x:c>
      <x:c r="I354" s="17" t="n">
        <x:v>0</x:v>
      </x:c>
      <x:c r="J354" s="19" t="n">
        <x:v>2</x:v>
      </x:c>
      <x:c r="K354" s="19" t="n">
        <x:f>E354*G354</x:f>
        <x:v>60</x:v>
      </x:c>
      <x:c r="L354" s="19" t="n">
        <x:f>K354*I354</x:f>
        <x:v>0</x:v>
      </x:c>
      <x:c r="M354" s="19" t="n">
        <x:f>(E354-F354)*G354*(1-I354)</x:f>
        <x:v>60</x:v>
      </x:c>
      <x:c r="N354" s="19" t="n">
        <x:f>(E354-F354)*H354</x:f>
        <x:v>24</x:v>
      </x:c>
      <x:c r="O354" s="19" t="n">
        <x:f>F354*J354</x:f>
        <x:v>0</x:v>
      </x:c>
      <x:c r="P354" s="19" t="n">
        <x:f>M354-N354-O354</x:f>
        <x:v>36</x:v>
      </x:c>
    </x:row>
    <x:row r="355">
      <x:c r="A355" s="15" t="str">
        <x:v>SIM-0351</x:v>
      </x:c>
      <x:c r="B355" s="15" t="str">
        <x:v>2026-02</x:v>
      </x:c>
      <x:c r="C355" s="15" t="str">
        <x:v>Calzado</x:v>
      </x:c>
      <x:c r="D355" s="15" t="str">
        <x:v>Online</x:v>
      </x:c>
      <x:c r="E355" s="15" t="n">
        <x:v>1</x:v>
      </x:c>
      <x:c r="F355" s="15" t="n">
        <x:v>0</x:v>
      </x:c>
      <x:c r="G355" s="19" t="n">
        <x:v>90</x:v>
      </x:c>
      <x:c r="H355" s="19" t="n">
        <x:v>42</x:v>
      </x:c>
      <x:c r="I355" s="17" t="n">
        <x:v>0.3</x:v>
      </x:c>
      <x:c r="J355" s="19" t="n">
        <x:v>6</x:v>
      </x:c>
      <x:c r="K355" s="19" t="n">
        <x:f>E355*G355</x:f>
        <x:v>90</x:v>
      </x:c>
      <x:c r="L355" s="19" t="n">
        <x:f>K355*I355</x:f>
        <x:v>27</x:v>
      </x:c>
      <x:c r="M355" s="19" t="n">
        <x:f>(E355-F355)*G355*(1-I355)</x:f>
        <x:v>62.99999999999999</x:v>
      </x:c>
      <x:c r="N355" s="19" t="n">
        <x:f>(E355-F355)*H355</x:f>
        <x:v>42</x:v>
      </x:c>
      <x:c r="O355" s="19" t="n">
        <x:f>F355*J355</x:f>
        <x:v>0</x:v>
      </x:c>
      <x:c r="P355" s="19" t="n">
        <x:f>M355-N355-O355</x:f>
        <x:v>20.999999999999993</x:v>
      </x:c>
    </x:row>
    <x:row r="356">
      <x:c r="A356" s="15" t="str">
        <x:v>SIM-0352</x:v>
      </x:c>
      <x:c r="B356" s="15" t="str">
        <x:v>2026-02</x:v>
      </x:c>
      <x:c r="C356" s="15" t="str">
        <x:v>Prendas</x:v>
      </x:c>
      <x:c r="D356" s="15" t="str">
        <x:v>Online</x:v>
      </x:c>
      <x:c r="E356" s="15" t="n">
        <x:v>1</x:v>
      </x:c>
      <x:c r="F356" s="15" t="n">
        <x:v>0</x:v>
      </x:c>
      <x:c r="G356" s="19" t="n">
        <x:v>60</x:v>
      </x:c>
      <x:c r="H356" s="19" t="n">
        <x:v>24</x:v>
      </x:c>
      <x:c r="I356" s="17" t="n">
        <x:v>0.1</x:v>
      </x:c>
      <x:c r="J356" s="19" t="n">
        <x:v>6</x:v>
      </x:c>
      <x:c r="K356" s="19" t="n">
        <x:f>E356*G356</x:f>
        <x:v>60</x:v>
      </x:c>
      <x:c r="L356" s="19" t="n">
        <x:f>K356*I356</x:f>
        <x:v>6</x:v>
      </x:c>
      <x:c r="M356" s="19" t="n">
        <x:f>(E356-F356)*G356*(1-I356)</x:f>
        <x:v>54</x:v>
      </x:c>
      <x:c r="N356" s="19" t="n">
        <x:f>(E356-F356)*H356</x:f>
        <x:v>24</x:v>
      </x:c>
      <x:c r="O356" s="19" t="n">
        <x:f>F356*J356</x:f>
        <x:v>0</x:v>
      </x:c>
      <x:c r="P356" s="19" t="n">
        <x:f>M356-N356-O356</x:f>
        <x:v>30</x:v>
      </x:c>
    </x:row>
    <x:row r="357">
      <x:c r="A357" s="15" t="str">
        <x:v>SIM-0353</x:v>
      </x:c>
      <x:c r="B357" s="15" t="str">
        <x:v>2026-02</x:v>
      </x:c>
      <x:c r="C357" s="15" t="str">
        <x:v>Calzado</x:v>
      </x:c>
      <x:c r="D357" s="15" t="str">
        <x:v>Online</x:v>
      </x:c>
      <x:c r="E357" s="15" t="n">
        <x:v>1</x:v>
      </x:c>
      <x:c r="F357" s="15" t="n">
        <x:v>0</x:v>
      </x:c>
      <x:c r="G357" s="19" t="n">
        <x:v>90</x:v>
      </x:c>
      <x:c r="H357" s="19" t="n">
        <x:v>42</x:v>
      </x:c>
      <x:c r="I357" s="17" t="n">
        <x:v>0</x:v>
      </x:c>
      <x:c r="J357" s="19" t="n">
        <x:v>6</x:v>
      </x:c>
      <x:c r="K357" s="19" t="n">
        <x:f>E357*G357</x:f>
        <x:v>90</x:v>
      </x:c>
      <x:c r="L357" s="19" t="n">
        <x:f>K357*I357</x:f>
        <x:v>0</x:v>
      </x:c>
      <x:c r="M357" s="19" t="n">
        <x:f>(E357-F357)*G357*(1-I357)</x:f>
        <x:v>90</x:v>
      </x:c>
      <x:c r="N357" s="19" t="n">
        <x:f>(E357-F357)*H357</x:f>
        <x:v>42</x:v>
      </x:c>
      <x:c r="O357" s="19" t="n">
        <x:f>F357*J357</x:f>
        <x:v>0</x:v>
      </x:c>
      <x:c r="P357" s="19" t="n">
        <x:f>M357-N357-O357</x:f>
        <x:v>48</x:v>
      </x:c>
    </x:row>
    <x:row r="358">
      <x:c r="A358" s="15" t="str">
        <x:v>SIM-0354</x:v>
      </x:c>
      <x:c r="B358" s="15" t="str">
        <x:v>2026-02</x:v>
      </x:c>
      <x:c r="C358" s="15" t="str">
        <x:v>Accesorios</x:v>
      </x:c>
      <x:c r="D358" s="15" t="str">
        <x:v>Online</x:v>
      </x:c>
      <x:c r="E358" s="15" t="n">
        <x:v>1</x:v>
      </x:c>
      <x:c r="F358" s="15" t="n">
        <x:v>0</x:v>
      </x:c>
      <x:c r="G358" s="19" t="n">
        <x:v>30</x:v>
      </x:c>
      <x:c r="H358" s="19" t="n">
        <x:v>9</x:v>
      </x:c>
      <x:c r="I358" s="17" t="n">
        <x:v>0</x:v>
      </x:c>
      <x:c r="J358" s="19" t="n">
        <x:v>6</x:v>
      </x:c>
      <x:c r="K358" s="19" t="n">
        <x:f>E358*G358</x:f>
        <x:v>30</x:v>
      </x:c>
      <x:c r="L358" s="19" t="n">
        <x:f>K358*I358</x:f>
        <x:v>0</x:v>
      </x:c>
      <x:c r="M358" s="19" t="n">
        <x:f>(E358-F358)*G358*(1-I358)</x:f>
        <x:v>30</x:v>
      </x:c>
      <x:c r="N358" s="19" t="n">
        <x:f>(E358-F358)*H358</x:f>
        <x:v>9</x:v>
      </x:c>
      <x:c r="O358" s="19" t="n">
        <x:f>F358*J358</x:f>
        <x:v>0</x:v>
      </x:c>
      <x:c r="P358" s="19" t="n">
        <x:f>M358-N358-O358</x:f>
        <x:v>21</x:v>
      </x:c>
    </x:row>
    <x:row r="359">
      <x:c r="A359" s="15" t="str">
        <x:v>SIM-0355</x:v>
      </x:c>
      <x:c r="B359" s="15" t="str">
        <x:v>2026-02</x:v>
      </x:c>
      <x:c r="C359" s="15" t="str">
        <x:v>Prendas</x:v>
      </x:c>
      <x:c r="D359" s="15" t="str">
        <x:v>Online</x:v>
      </x:c>
      <x:c r="E359" s="15" t="n">
        <x:v>1</x:v>
      </x:c>
      <x:c r="F359" s="15" t="n">
        <x:v>1</x:v>
      </x:c>
      <x:c r="G359" s="19" t="n">
        <x:v>60</x:v>
      </x:c>
      <x:c r="H359" s="19" t="n">
        <x:v>24</x:v>
      </x:c>
      <x:c r="I359" s="17" t="n">
        <x:v>0</x:v>
      </x:c>
      <x:c r="J359" s="19" t="n">
        <x:v>6</x:v>
      </x:c>
      <x:c r="K359" s="19" t="n">
        <x:f>E359*G359</x:f>
        <x:v>60</x:v>
      </x:c>
      <x:c r="L359" s="19" t="n">
        <x:f>K359*I359</x:f>
        <x:v>0</x:v>
      </x:c>
      <x:c r="M359" s="19" t="n">
        <x:f>(E359-F359)*G359*(1-I359)</x:f>
        <x:v>0</x:v>
      </x:c>
      <x:c r="N359" s="19" t="n">
        <x:f>(E359-F359)*H359</x:f>
        <x:v>0</x:v>
      </x:c>
      <x:c r="O359" s="19" t="n">
        <x:f>F359*J359</x:f>
        <x:v>6</x:v>
      </x:c>
      <x:c r="P359" s="19" t="n">
        <x:f>M359-N359-O359</x:f>
        <x:v>-6</x:v>
      </x:c>
    </x:row>
    <x:row r="360">
      <x:c r="A360" s="15" t="str">
        <x:v>SIM-0356</x:v>
      </x:c>
      <x:c r="B360" s="15" t="str">
        <x:v>2026-02</x:v>
      </x:c>
      <x:c r="C360" s="15" t="str">
        <x:v>Calzado</x:v>
      </x:c>
      <x:c r="D360" s="15" t="str">
        <x:v>Online</x:v>
      </x:c>
      <x:c r="E360" s="15" t="n">
        <x:v>1</x:v>
      </x:c>
      <x:c r="F360" s="15" t="n">
        <x:v>0</x:v>
      </x:c>
      <x:c r="G360" s="19" t="n">
        <x:v>90</x:v>
      </x:c>
      <x:c r="H360" s="19" t="n">
        <x:v>42</x:v>
      </x:c>
      <x:c r="I360" s="17" t="n">
        <x:v>0</x:v>
      </x:c>
      <x:c r="J360" s="19" t="n">
        <x:v>6</x:v>
      </x:c>
      <x:c r="K360" s="19" t="n">
        <x:f>E360*G360</x:f>
        <x:v>90</x:v>
      </x:c>
      <x:c r="L360" s="19" t="n">
        <x:f>K360*I360</x:f>
        <x:v>0</x:v>
      </x:c>
      <x:c r="M360" s="19" t="n">
        <x:f>(E360-F360)*G360*(1-I360)</x:f>
        <x:v>90</x:v>
      </x:c>
      <x:c r="N360" s="19" t="n">
        <x:f>(E360-F360)*H360</x:f>
        <x:v>42</x:v>
      </x:c>
      <x:c r="O360" s="19" t="n">
        <x:f>F360*J360</x:f>
        <x:v>0</x:v>
      </x:c>
      <x:c r="P360" s="19" t="n">
        <x:f>M360-N360-O360</x:f>
        <x:v>48</x:v>
      </x:c>
    </x:row>
    <x:row r="361">
      <x:c r="A361" s="15" t="str">
        <x:v>SIM-0357</x:v>
      </x:c>
      <x:c r="B361" s="15" t="str">
        <x:v>2026-02</x:v>
      </x:c>
      <x:c r="C361" s="15" t="str">
        <x:v>Prendas</x:v>
      </x:c>
      <x:c r="D361" s="15" t="str">
        <x:v>Online</x:v>
      </x:c>
      <x:c r="E361" s="15" t="n">
        <x:v>1</x:v>
      </x:c>
      <x:c r="F361" s="15" t="n">
        <x:v>0</x:v>
      </x:c>
      <x:c r="G361" s="19" t="n">
        <x:v>60</x:v>
      </x:c>
      <x:c r="H361" s="19" t="n">
        <x:v>24</x:v>
      </x:c>
      <x:c r="I361" s="17" t="n">
        <x:v>0.3</x:v>
      </x:c>
      <x:c r="J361" s="19" t="n">
        <x:v>6</x:v>
      </x:c>
      <x:c r="K361" s="19" t="n">
        <x:f>E361*G361</x:f>
        <x:v>60</x:v>
      </x:c>
      <x:c r="L361" s="19" t="n">
        <x:f>K361*I361</x:f>
        <x:v>18</x:v>
      </x:c>
      <x:c r="M361" s="19" t="n">
        <x:f>(E361-F361)*G361*(1-I361)</x:f>
        <x:v>42</x:v>
      </x:c>
      <x:c r="N361" s="19" t="n">
        <x:f>(E361-F361)*H361</x:f>
        <x:v>24</x:v>
      </x:c>
      <x:c r="O361" s="19" t="n">
        <x:f>F361*J361</x:f>
        <x:v>0</x:v>
      </x:c>
      <x:c r="P361" s="19" t="n">
        <x:f>M361-N361-O361</x:f>
        <x:v>18</x:v>
      </x:c>
    </x:row>
    <x:row r="362">
      <x:c r="A362" s="15" t="str">
        <x:v>SIM-0358</x:v>
      </x:c>
      <x:c r="B362" s="15" t="str">
        <x:v>2026-02</x:v>
      </x:c>
      <x:c r="C362" s="15" t="str">
        <x:v>Calzado</x:v>
      </x:c>
      <x:c r="D362" s="15" t="str">
        <x:v>Online</x:v>
      </x:c>
      <x:c r="E362" s="15" t="n">
        <x:v>1</x:v>
      </x:c>
      <x:c r="F362" s="15" t="n">
        <x:v>1</x:v>
      </x:c>
      <x:c r="G362" s="19" t="n">
        <x:v>90</x:v>
      </x:c>
      <x:c r="H362" s="19" t="n">
        <x:v>42</x:v>
      </x:c>
      <x:c r="I362" s="17" t="n">
        <x:v>0</x:v>
      </x:c>
      <x:c r="J362" s="19" t="n">
        <x:v>6</x:v>
      </x:c>
      <x:c r="K362" s="19" t="n">
        <x:f>E362*G362</x:f>
        <x:v>90</x:v>
      </x:c>
      <x:c r="L362" s="19" t="n">
        <x:f>K362*I362</x:f>
        <x:v>0</x:v>
      </x:c>
      <x:c r="M362" s="19" t="n">
        <x:f>(E362-F362)*G362*(1-I362)</x:f>
        <x:v>0</x:v>
      </x:c>
      <x:c r="N362" s="19" t="n">
        <x:f>(E362-F362)*H362</x:f>
        <x:v>0</x:v>
      </x:c>
      <x:c r="O362" s="19" t="n">
        <x:f>F362*J362</x:f>
        <x:v>6</x:v>
      </x:c>
      <x:c r="P362" s="19" t="n">
        <x:f>M362-N362-O362</x:f>
        <x:v>-6</x:v>
      </x:c>
    </x:row>
    <x:row r="363">
      <x:c r="A363" s="15" t="str">
        <x:v>SIM-0359</x:v>
      </x:c>
      <x:c r="B363" s="15" t="str">
        <x:v>2026-02</x:v>
      </x:c>
      <x:c r="C363" s="15" t="str">
        <x:v>Prendas</x:v>
      </x:c>
      <x:c r="D363" s="15" t="str">
        <x:v>Online</x:v>
      </x:c>
      <x:c r="E363" s="15" t="n">
        <x:v>1</x:v>
      </x:c>
      <x:c r="F363" s="15" t="n">
        <x:v>0</x:v>
      </x:c>
      <x:c r="G363" s="19" t="n">
        <x:v>60</x:v>
      </x:c>
      <x:c r="H363" s="19" t="n">
        <x:v>24</x:v>
      </x:c>
      <x:c r="I363" s="17" t="n">
        <x:v>0.3</x:v>
      </x:c>
      <x:c r="J363" s="19" t="n">
        <x:v>6</x:v>
      </x:c>
      <x:c r="K363" s="19" t="n">
        <x:f>E363*G363</x:f>
        <x:v>60</x:v>
      </x:c>
      <x:c r="L363" s="19" t="n">
        <x:f>K363*I363</x:f>
        <x:v>18</x:v>
      </x:c>
      <x:c r="M363" s="19" t="n">
        <x:f>(E363-F363)*G363*(1-I363)</x:f>
        <x:v>42</x:v>
      </x:c>
      <x:c r="N363" s="19" t="n">
        <x:f>(E363-F363)*H363</x:f>
        <x:v>24</x:v>
      </x:c>
      <x:c r="O363" s="19" t="n">
        <x:f>F363*J363</x:f>
        <x:v>0</x:v>
      </x:c>
      <x:c r="P363" s="19" t="n">
        <x:f>M363-N363-O363</x:f>
        <x:v>18</x:v>
      </x:c>
    </x:row>
    <x:row r="364">
      <x:c r="A364" s="15" t="str">
        <x:v>SIM-0360</x:v>
      </x:c>
      <x:c r="B364" s="15" t="str">
        <x:v>2026-02</x:v>
      </x:c>
      <x:c r="C364" s="15" t="str">
        <x:v>Prendas</x:v>
      </x:c>
      <x:c r="D364" s="15" t="str">
        <x:v>Tienda</x:v>
      </x:c>
      <x:c r="E364" s="15" t="n">
        <x:v>2</x:v>
      </x:c>
      <x:c r="F364" s="15" t="n">
        <x:v>0</x:v>
      </x:c>
      <x:c r="G364" s="19" t="n">
        <x:v>60</x:v>
      </x:c>
      <x:c r="H364" s="19" t="n">
        <x:v>24</x:v>
      </x:c>
      <x:c r="I364" s="17" t="n">
        <x:v>0</x:v>
      </x:c>
      <x:c r="J364" s="19" t="n">
        <x:v>2</x:v>
      </x:c>
      <x:c r="K364" s="19" t="n">
        <x:f>E364*G364</x:f>
        <x:v>120</x:v>
      </x:c>
      <x:c r="L364" s="19" t="n">
        <x:f>K364*I364</x:f>
        <x:v>0</x:v>
      </x:c>
      <x:c r="M364" s="19" t="n">
        <x:f>(E364-F364)*G364*(1-I364)</x:f>
        <x:v>120</x:v>
      </x:c>
      <x:c r="N364" s="19" t="n">
        <x:f>(E364-F364)*H364</x:f>
        <x:v>48</x:v>
      </x:c>
      <x:c r="O364" s="19" t="n">
        <x:f>F364*J364</x:f>
        <x:v>0</x:v>
      </x:c>
      <x:c r="P364" s="19" t="n">
        <x:f>M364-N364-O364</x:f>
        <x:v>72</x:v>
      </x:c>
    </x:row>
    <x:row r="365">
      <x:c r="A365" s="15" t="str">
        <x:v>SIM-0361</x:v>
      </x:c>
      <x:c r="B365" s="15" t="str">
        <x:v>2026-02</x:v>
      </x:c>
      <x:c r="C365" s="15" t="str">
        <x:v>Prendas</x:v>
      </x:c>
      <x:c r="D365" s="15" t="str">
        <x:v>Tienda</x:v>
      </x:c>
      <x:c r="E365" s="15" t="n">
        <x:v>2</x:v>
      </x:c>
      <x:c r="F365" s="15" t="n">
        <x:v>1</x:v>
      </x:c>
      <x:c r="G365" s="19" t="n">
        <x:v>60</x:v>
      </x:c>
      <x:c r="H365" s="19" t="n">
        <x:v>24</x:v>
      </x:c>
      <x:c r="I365" s="17" t="n">
        <x:v>0.2</x:v>
      </x:c>
      <x:c r="J365" s="19" t="n">
        <x:v>2</x:v>
      </x:c>
      <x:c r="K365" s="19" t="n">
        <x:f>E365*G365</x:f>
        <x:v>120</x:v>
      </x:c>
      <x:c r="L365" s="19" t="n">
        <x:f>K365*I365</x:f>
        <x:v>24</x:v>
      </x:c>
      <x:c r="M365" s="19" t="n">
        <x:f>(E365-F365)*G365*(1-I365)</x:f>
        <x:v>48</x:v>
      </x:c>
      <x:c r="N365" s="19" t="n">
        <x:f>(E365-F365)*H365</x:f>
        <x:v>24</x:v>
      </x:c>
      <x:c r="O365" s="19" t="n">
        <x:f>F365*J365</x:f>
        <x:v>2</x:v>
      </x:c>
      <x:c r="P365" s="19" t="n">
        <x:f>M365-N365-O365</x:f>
        <x:v>22</x:v>
      </x:c>
    </x:row>
    <x:row r="366">
      <x:c r="A366" s="15" t="str">
        <x:v>SIM-0362</x:v>
      </x:c>
      <x:c r="B366" s="15" t="str">
        <x:v>2026-02</x:v>
      </x:c>
      <x:c r="C366" s="15" t="str">
        <x:v>Prendas</x:v>
      </x:c>
      <x:c r="D366" s="15" t="str">
        <x:v>Tienda</x:v>
      </x:c>
      <x:c r="E366" s="15" t="n">
        <x:v>1</x:v>
      </x:c>
      <x:c r="F366" s="15" t="n">
        <x:v>0</x:v>
      </x:c>
      <x:c r="G366" s="19" t="n">
        <x:v>60</x:v>
      </x:c>
      <x:c r="H366" s="19" t="n">
        <x:v>24</x:v>
      </x:c>
      <x:c r="I366" s="17" t="n">
        <x:v>0.3</x:v>
      </x:c>
      <x:c r="J366" s="19" t="n">
        <x:v>2</x:v>
      </x:c>
      <x:c r="K366" s="19" t="n">
        <x:f>E366*G366</x:f>
        <x:v>60</x:v>
      </x:c>
      <x:c r="L366" s="19" t="n">
        <x:f>K366*I366</x:f>
        <x:v>18</x:v>
      </x:c>
      <x:c r="M366" s="19" t="n">
        <x:f>(E366-F366)*G366*(1-I366)</x:f>
        <x:v>42</x:v>
      </x:c>
      <x:c r="N366" s="19" t="n">
        <x:f>(E366-F366)*H366</x:f>
        <x:v>24</x:v>
      </x:c>
      <x:c r="O366" s="19" t="n">
        <x:f>F366*J366</x:f>
        <x:v>0</x:v>
      </x:c>
      <x:c r="P366" s="19" t="n">
        <x:f>M366-N366-O366</x:f>
        <x:v>18</x:v>
      </x:c>
    </x:row>
    <x:row r="367">
      <x:c r="A367" s="15" t="str">
        <x:v>SIM-0363</x:v>
      </x:c>
      <x:c r="B367" s="15" t="str">
        <x:v>2026-02</x:v>
      </x:c>
      <x:c r="C367" s="15" t="str">
        <x:v>Prendas</x:v>
      </x:c>
      <x:c r="D367" s="15" t="str">
        <x:v>Tienda</x:v>
      </x:c>
      <x:c r="E367" s="15" t="n">
        <x:v>1</x:v>
      </x:c>
      <x:c r="F367" s="15" t="n">
        <x:v>0</x:v>
      </x:c>
      <x:c r="G367" s="19" t="n">
        <x:v>60</x:v>
      </x:c>
      <x:c r="H367" s="19" t="n">
        <x:v>24</x:v>
      </x:c>
      <x:c r="I367" s="17" t="n">
        <x:v>0</x:v>
      </x:c>
      <x:c r="J367" s="19" t="n">
        <x:v>2</x:v>
      </x:c>
      <x:c r="K367" s="19" t="n">
        <x:f>E367*G367</x:f>
        <x:v>60</x:v>
      </x:c>
      <x:c r="L367" s="19" t="n">
        <x:f>K367*I367</x:f>
        <x:v>0</x:v>
      </x:c>
      <x:c r="M367" s="19" t="n">
        <x:f>(E367-F367)*G367*(1-I367)</x:f>
        <x:v>60</x:v>
      </x:c>
      <x:c r="N367" s="19" t="n">
        <x:f>(E367-F367)*H367</x:f>
        <x:v>24</x:v>
      </x:c>
      <x:c r="O367" s="19" t="n">
        <x:f>F367*J367</x:f>
        <x:v>0</x:v>
      </x:c>
      <x:c r="P367" s="19" t="n">
        <x:f>M367-N367-O367</x:f>
        <x:v>36</x:v>
      </x:c>
    </x:row>
    <x:row r="368">
      <x:c r="A368" s="15" t="str">
        <x:v>SIM-0364</x:v>
      </x:c>
      <x:c r="B368" s="15" t="str">
        <x:v>2026-02</x:v>
      </x:c>
      <x:c r="C368" s="15" t="str">
        <x:v>Accesorios</x:v>
      </x:c>
      <x:c r="D368" s="15" t="str">
        <x:v>Tienda</x:v>
      </x:c>
      <x:c r="E368" s="15" t="n">
        <x:v>1</x:v>
      </x:c>
      <x:c r="F368" s="15" t="n">
        <x:v>0</x:v>
      </x:c>
      <x:c r="G368" s="19" t="n">
        <x:v>30</x:v>
      </x:c>
      <x:c r="H368" s="19" t="n">
        <x:v>9</x:v>
      </x:c>
      <x:c r="I368" s="17" t="n">
        <x:v>0.2</x:v>
      </x:c>
      <x:c r="J368" s="19" t="n">
        <x:v>2</x:v>
      </x:c>
      <x:c r="K368" s="19" t="n">
        <x:f>E368*G368</x:f>
        <x:v>30</x:v>
      </x:c>
      <x:c r="L368" s="19" t="n">
        <x:f>K368*I368</x:f>
        <x:v>6</x:v>
      </x:c>
      <x:c r="M368" s="19" t="n">
        <x:f>(E368-F368)*G368*(1-I368)</x:f>
        <x:v>24</x:v>
      </x:c>
      <x:c r="N368" s="19" t="n">
        <x:f>(E368-F368)*H368</x:f>
        <x:v>9</x:v>
      </x:c>
      <x:c r="O368" s="19" t="n">
        <x:f>F368*J368</x:f>
        <x:v>0</x:v>
      </x:c>
      <x:c r="P368" s="19" t="n">
        <x:f>M368-N368-O368</x:f>
        <x:v>15</x:v>
      </x:c>
    </x:row>
    <x:row r="369">
      <x:c r="A369" s="15" t="str">
        <x:v>SIM-0365</x:v>
      </x:c>
      <x:c r="B369" s="15" t="str">
        <x:v>2026-02</x:v>
      </x:c>
      <x:c r="C369" s="15" t="str">
        <x:v>Accesorios</x:v>
      </x:c>
      <x:c r="D369" s="15" t="str">
        <x:v>Online</x:v>
      </x:c>
      <x:c r="E369" s="15" t="n">
        <x:v>1</x:v>
      </x:c>
      <x:c r="F369" s="15" t="n">
        <x:v>0</x:v>
      </x:c>
      <x:c r="G369" s="19" t="n">
        <x:v>30</x:v>
      </x:c>
      <x:c r="H369" s="19" t="n">
        <x:v>9</x:v>
      </x:c>
      <x:c r="I369" s="17" t="n">
        <x:v>0.2</x:v>
      </x:c>
      <x:c r="J369" s="19" t="n">
        <x:v>6</x:v>
      </x:c>
      <x:c r="K369" s="19" t="n">
        <x:f>E369*G369</x:f>
        <x:v>30</x:v>
      </x:c>
      <x:c r="L369" s="19" t="n">
        <x:f>K369*I369</x:f>
        <x:v>6</x:v>
      </x:c>
      <x:c r="M369" s="19" t="n">
        <x:f>(E369-F369)*G369*(1-I369)</x:f>
        <x:v>24</x:v>
      </x:c>
      <x:c r="N369" s="19" t="n">
        <x:f>(E369-F369)*H369</x:f>
        <x:v>9</x:v>
      </x:c>
      <x:c r="O369" s="19" t="n">
        <x:f>F369*J369</x:f>
        <x:v>0</x:v>
      </x:c>
      <x:c r="P369" s="19" t="n">
        <x:f>M369-N369-O369</x:f>
        <x:v>15</x:v>
      </x:c>
    </x:row>
    <x:row r="370">
      <x:c r="A370" s="15" t="str">
        <x:v>SIM-0366</x:v>
      </x:c>
      <x:c r="B370" s="15" t="str">
        <x:v>2026-02</x:v>
      </x:c>
      <x:c r="C370" s="15" t="str">
        <x:v>Prendas</x:v>
      </x:c>
      <x:c r="D370" s="15" t="str">
        <x:v>Tienda</x:v>
      </x:c>
      <x:c r="E370" s="15" t="n">
        <x:v>1</x:v>
      </x:c>
      <x:c r="F370" s="15" t="n">
        <x:v>0</x:v>
      </x:c>
      <x:c r="G370" s="19" t="n">
        <x:v>60</x:v>
      </x:c>
      <x:c r="H370" s="19" t="n">
        <x:v>24</x:v>
      </x:c>
      <x:c r="I370" s="17" t="n">
        <x:v>0.3</x:v>
      </x:c>
      <x:c r="J370" s="19" t="n">
        <x:v>2</x:v>
      </x:c>
      <x:c r="K370" s="19" t="n">
        <x:f>E370*G370</x:f>
        <x:v>60</x:v>
      </x:c>
      <x:c r="L370" s="19" t="n">
        <x:f>K370*I370</x:f>
        <x:v>18</x:v>
      </x:c>
      <x:c r="M370" s="19" t="n">
        <x:f>(E370-F370)*G370*(1-I370)</x:f>
        <x:v>42</x:v>
      </x:c>
      <x:c r="N370" s="19" t="n">
        <x:f>(E370-F370)*H370</x:f>
        <x:v>24</x:v>
      </x:c>
      <x:c r="O370" s="19" t="n">
        <x:f>F370*J370</x:f>
        <x:v>0</x:v>
      </x:c>
      <x:c r="P370" s="19" t="n">
        <x:f>M370-N370-O370</x:f>
        <x:v>18</x:v>
      </x:c>
    </x:row>
    <x:row r="371">
      <x:c r="A371" s="15" t="str">
        <x:v>SIM-0367</x:v>
      </x:c>
      <x:c r="B371" s="15" t="str">
        <x:v>2026-02</x:v>
      </x:c>
      <x:c r="C371" s="15" t="str">
        <x:v>Calzado</x:v>
      </x:c>
      <x:c r="D371" s="15" t="str">
        <x:v>Tienda</x:v>
      </x:c>
      <x:c r="E371" s="15" t="n">
        <x:v>3</x:v>
      </x:c>
      <x:c r="F371" s="15" t="n">
        <x:v>0</x:v>
      </x:c>
      <x:c r="G371" s="19" t="n">
        <x:v>90</x:v>
      </x:c>
      <x:c r="H371" s="19" t="n">
        <x:v>42</x:v>
      </x:c>
      <x:c r="I371" s="17" t="n">
        <x:v>0</x:v>
      </x:c>
      <x:c r="J371" s="19" t="n">
        <x:v>2</x:v>
      </x:c>
      <x:c r="K371" s="19" t="n">
        <x:f>E371*G371</x:f>
        <x:v>270</x:v>
      </x:c>
      <x:c r="L371" s="19" t="n">
        <x:f>K371*I371</x:f>
        <x:v>0</x:v>
      </x:c>
      <x:c r="M371" s="19" t="n">
        <x:f>(E371-F371)*G371*(1-I371)</x:f>
        <x:v>270</x:v>
      </x:c>
      <x:c r="N371" s="19" t="n">
        <x:f>(E371-F371)*H371</x:f>
        <x:v>126</x:v>
      </x:c>
      <x:c r="O371" s="19" t="n">
        <x:f>F371*J371</x:f>
        <x:v>0</x:v>
      </x:c>
      <x:c r="P371" s="19" t="n">
        <x:f>M371-N371-O371</x:f>
        <x:v>144</x:v>
      </x:c>
    </x:row>
    <x:row r="372">
      <x:c r="A372" s="15" t="str">
        <x:v>SIM-0368</x:v>
      </x:c>
      <x:c r="B372" s="15" t="str">
        <x:v>2026-02</x:v>
      </x:c>
      <x:c r="C372" s="15" t="str">
        <x:v>Calzado</x:v>
      </x:c>
      <x:c r="D372" s="15" t="str">
        <x:v>Tienda</x:v>
      </x:c>
      <x:c r="E372" s="15" t="n">
        <x:v>1</x:v>
      </x:c>
      <x:c r="F372" s="15" t="n">
        <x:v>0</x:v>
      </x:c>
      <x:c r="G372" s="19" t="n">
        <x:v>90</x:v>
      </x:c>
      <x:c r="H372" s="19" t="n">
        <x:v>42</x:v>
      </x:c>
      <x:c r="I372" s="17" t="n">
        <x:v>0</x:v>
      </x:c>
      <x:c r="J372" s="19" t="n">
        <x:v>2</x:v>
      </x:c>
      <x:c r="K372" s="19" t="n">
        <x:f>E372*G372</x:f>
        <x:v>90</x:v>
      </x:c>
      <x:c r="L372" s="19" t="n">
        <x:f>K372*I372</x:f>
        <x:v>0</x:v>
      </x:c>
      <x:c r="M372" s="19" t="n">
        <x:f>(E372-F372)*G372*(1-I372)</x:f>
        <x:v>90</x:v>
      </x:c>
      <x:c r="N372" s="19" t="n">
        <x:f>(E372-F372)*H372</x:f>
        <x:v>42</x:v>
      </x:c>
      <x:c r="O372" s="19" t="n">
        <x:f>F372*J372</x:f>
        <x:v>0</x:v>
      </x:c>
      <x:c r="P372" s="19" t="n">
        <x:f>M372-N372-O372</x:f>
        <x:v>48</x:v>
      </x:c>
    </x:row>
    <x:row r="373">
      <x:c r="A373" s="15" t="str">
        <x:v>SIM-0369</x:v>
      </x:c>
      <x:c r="B373" s="15" t="str">
        <x:v>2026-02</x:v>
      </x:c>
      <x:c r="C373" s="15" t="str">
        <x:v>Prendas</x:v>
      </x:c>
      <x:c r="D373" s="15" t="str">
        <x:v>Tienda</x:v>
      </x:c>
      <x:c r="E373" s="15" t="n">
        <x:v>3</x:v>
      </x:c>
      <x:c r="F373" s="15" t="n">
        <x:v>0</x:v>
      </x:c>
      <x:c r="G373" s="19" t="n">
        <x:v>60</x:v>
      </x:c>
      <x:c r="H373" s="19" t="n">
        <x:v>24</x:v>
      </x:c>
      <x:c r="I373" s="17" t="n">
        <x:v>0</x:v>
      </x:c>
      <x:c r="J373" s="19" t="n">
        <x:v>2</x:v>
      </x:c>
      <x:c r="K373" s="19" t="n">
        <x:f>E373*G373</x:f>
        <x:v>180</x:v>
      </x:c>
      <x:c r="L373" s="19" t="n">
        <x:f>K373*I373</x:f>
        <x:v>0</x:v>
      </x:c>
      <x:c r="M373" s="19" t="n">
        <x:f>(E373-F373)*G373*(1-I373)</x:f>
        <x:v>180</x:v>
      </x:c>
      <x:c r="N373" s="19" t="n">
        <x:f>(E373-F373)*H373</x:f>
        <x:v>72</x:v>
      </x:c>
      <x:c r="O373" s="19" t="n">
        <x:f>F373*J373</x:f>
        <x:v>0</x:v>
      </x:c>
      <x:c r="P373" s="19" t="n">
        <x:f>M373-N373-O373</x:f>
        <x:v>108</x:v>
      </x:c>
    </x:row>
    <x:row r="374">
      <x:c r="A374" s="15" t="str">
        <x:v>SIM-0370</x:v>
      </x:c>
      <x:c r="B374" s="15" t="str">
        <x:v>2026-02</x:v>
      </x:c>
      <x:c r="C374" s="15" t="str">
        <x:v>Accesorios</x:v>
      </x:c>
      <x:c r="D374" s="15" t="str">
        <x:v>Tienda</x:v>
      </x:c>
      <x:c r="E374" s="15" t="n">
        <x:v>1</x:v>
      </x:c>
      <x:c r="F374" s="15" t="n">
        <x:v>0</x:v>
      </x:c>
      <x:c r="G374" s="19" t="n">
        <x:v>30</x:v>
      </x:c>
      <x:c r="H374" s="19" t="n">
        <x:v>9</x:v>
      </x:c>
      <x:c r="I374" s="17" t="n">
        <x:v>0</x:v>
      </x:c>
      <x:c r="J374" s="19" t="n">
        <x:v>2</x:v>
      </x:c>
      <x:c r="K374" s="19" t="n">
        <x:f>E374*G374</x:f>
        <x:v>30</x:v>
      </x:c>
      <x:c r="L374" s="19" t="n">
        <x:f>K374*I374</x:f>
        <x:v>0</x:v>
      </x:c>
      <x:c r="M374" s="19" t="n">
        <x:f>(E374-F374)*G374*(1-I374)</x:f>
        <x:v>30</x:v>
      </x:c>
      <x:c r="N374" s="19" t="n">
        <x:f>(E374-F374)*H374</x:f>
        <x:v>9</x:v>
      </x:c>
      <x:c r="O374" s="19" t="n">
        <x:f>F374*J374</x:f>
        <x:v>0</x:v>
      </x:c>
      <x:c r="P374" s="19" t="n">
        <x:f>M374-N374-O374</x:f>
        <x:v>21</x:v>
      </x:c>
    </x:row>
    <x:row r="375">
      <x:c r="A375" s="15" t="str">
        <x:v>SIM-0371</x:v>
      </x:c>
      <x:c r="B375" s="15" t="str">
        <x:v>2026-02</x:v>
      </x:c>
      <x:c r="C375" s="15" t="str">
        <x:v>Prendas</x:v>
      </x:c>
      <x:c r="D375" s="15" t="str">
        <x:v>Tienda</x:v>
      </x:c>
      <x:c r="E375" s="15" t="n">
        <x:v>1</x:v>
      </x:c>
      <x:c r="F375" s="15" t="n">
        <x:v>0</x:v>
      </x:c>
      <x:c r="G375" s="19" t="n">
        <x:v>60</x:v>
      </x:c>
      <x:c r="H375" s="19" t="n">
        <x:v>24</x:v>
      </x:c>
      <x:c r="I375" s="17" t="n">
        <x:v>0</x:v>
      </x:c>
      <x:c r="J375" s="19" t="n">
        <x:v>2</x:v>
      </x:c>
      <x:c r="K375" s="19" t="n">
        <x:f>E375*G375</x:f>
        <x:v>60</x:v>
      </x:c>
      <x:c r="L375" s="19" t="n">
        <x:f>K375*I375</x:f>
        <x:v>0</x:v>
      </x:c>
      <x:c r="M375" s="19" t="n">
        <x:f>(E375-F375)*G375*(1-I375)</x:f>
        <x:v>60</x:v>
      </x:c>
      <x:c r="N375" s="19" t="n">
        <x:f>(E375-F375)*H375</x:f>
        <x:v>24</x:v>
      </x:c>
      <x:c r="O375" s="19" t="n">
        <x:f>F375*J375</x:f>
        <x:v>0</x:v>
      </x:c>
      <x:c r="P375" s="19" t="n">
        <x:f>M375-N375-O375</x:f>
        <x:v>36</x:v>
      </x:c>
    </x:row>
    <x:row r="376">
      <x:c r="A376" s="15" t="str">
        <x:v>SIM-0372</x:v>
      </x:c>
      <x:c r="B376" s="15" t="str">
        <x:v>2026-02</x:v>
      </x:c>
      <x:c r="C376" s="15" t="str">
        <x:v>Prendas</x:v>
      </x:c>
      <x:c r="D376" s="15" t="str">
        <x:v>Online</x:v>
      </x:c>
      <x:c r="E376" s="15" t="n">
        <x:v>1</x:v>
      </x:c>
      <x:c r="F376" s="15" t="n">
        <x:v>0</x:v>
      </x:c>
      <x:c r="G376" s="19" t="n">
        <x:v>60</x:v>
      </x:c>
      <x:c r="H376" s="19" t="n">
        <x:v>24</x:v>
      </x:c>
      <x:c r="I376" s="17" t="n">
        <x:v>0.1</x:v>
      </x:c>
      <x:c r="J376" s="19" t="n">
        <x:v>6</x:v>
      </x:c>
      <x:c r="K376" s="19" t="n">
        <x:f>E376*G376</x:f>
        <x:v>60</x:v>
      </x:c>
      <x:c r="L376" s="19" t="n">
        <x:f>K376*I376</x:f>
        <x:v>6</x:v>
      </x:c>
      <x:c r="M376" s="19" t="n">
        <x:f>(E376-F376)*G376*(1-I376)</x:f>
        <x:v>54</x:v>
      </x:c>
      <x:c r="N376" s="19" t="n">
        <x:f>(E376-F376)*H376</x:f>
        <x:v>24</x:v>
      </x:c>
      <x:c r="O376" s="19" t="n">
        <x:f>F376*J376</x:f>
        <x:v>0</x:v>
      </x:c>
      <x:c r="P376" s="19" t="n">
        <x:f>M376-N376-O376</x:f>
        <x:v>30</x:v>
      </x:c>
    </x:row>
    <x:row r="377">
      <x:c r="A377" s="15" t="str">
        <x:v>SIM-0373</x:v>
      </x:c>
      <x:c r="B377" s="15" t="str">
        <x:v>2026-02</x:v>
      </x:c>
      <x:c r="C377" s="15" t="str">
        <x:v>Prendas</x:v>
      </x:c>
      <x:c r="D377" s="15" t="str">
        <x:v>Tienda</x:v>
      </x:c>
      <x:c r="E377" s="15" t="n">
        <x:v>1</x:v>
      </x:c>
      <x:c r="F377" s="15" t="n">
        <x:v>0</x:v>
      </x:c>
      <x:c r="G377" s="19" t="n">
        <x:v>60</x:v>
      </x:c>
      <x:c r="H377" s="19" t="n">
        <x:v>24</x:v>
      </x:c>
      <x:c r="I377" s="17" t="n">
        <x:v>0.3</x:v>
      </x:c>
      <x:c r="J377" s="19" t="n">
        <x:v>2</x:v>
      </x:c>
      <x:c r="K377" s="19" t="n">
        <x:f>E377*G377</x:f>
        <x:v>60</x:v>
      </x:c>
      <x:c r="L377" s="19" t="n">
        <x:f>K377*I377</x:f>
        <x:v>18</x:v>
      </x:c>
      <x:c r="M377" s="19" t="n">
        <x:f>(E377-F377)*G377*(1-I377)</x:f>
        <x:v>42</x:v>
      </x:c>
      <x:c r="N377" s="19" t="n">
        <x:f>(E377-F377)*H377</x:f>
        <x:v>24</x:v>
      </x:c>
      <x:c r="O377" s="19" t="n">
        <x:f>F377*J377</x:f>
        <x:v>0</x:v>
      </x:c>
      <x:c r="P377" s="19" t="n">
        <x:f>M377-N377-O377</x:f>
        <x:v>18</x:v>
      </x:c>
    </x:row>
    <x:row r="378">
      <x:c r="A378" s="15" t="str">
        <x:v>SIM-0374</x:v>
      </x:c>
      <x:c r="B378" s="15" t="str">
        <x:v>2026-02</x:v>
      </x:c>
      <x:c r="C378" s="15" t="str">
        <x:v>Calzado</x:v>
      </x:c>
      <x:c r="D378" s="15" t="str">
        <x:v>Online</x:v>
      </x:c>
      <x:c r="E378" s="15" t="n">
        <x:v>2</x:v>
      </x:c>
      <x:c r="F378" s="15" t="n">
        <x:v>0</x:v>
      </x:c>
      <x:c r="G378" s="19" t="n">
        <x:v>90</x:v>
      </x:c>
      <x:c r="H378" s="19" t="n">
        <x:v>42</x:v>
      </x:c>
      <x:c r="I378" s="17" t="n">
        <x:v>0.3</x:v>
      </x:c>
      <x:c r="J378" s="19" t="n">
        <x:v>6</x:v>
      </x:c>
      <x:c r="K378" s="19" t="n">
        <x:f>E378*G378</x:f>
        <x:v>180</x:v>
      </x:c>
      <x:c r="L378" s="19" t="n">
        <x:f>K378*I378</x:f>
        <x:v>54</x:v>
      </x:c>
      <x:c r="M378" s="19" t="n">
        <x:f>(E378-F378)*G378*(1-I378)</x:f>
        <x:v>125.99999999999999</x:v>
      </x:c>
      <x:c r="N378" s="19" t="n">
        <x:f>(E378-F378)*H378</x:f>
        <x:v>84</x:v>
      </x:c>
      <x:c r="O378" s="19" t="n">
        <x:f>F378*J378</x:f>
        <x:v>0</x:v>
      </x:c>
      <x:c r="P378" s="19" t="n">
        <x:f>M378-N378-O378</x:f>
        <x:v>41.999999999999986</x:v>
      </x:c>
    </x:row>
    <x:row r="379">
      <x:c r="A379" s="15" t="str">
        <x:v>SIM-0375</x:v>
      </x:c>
      <x:c r="B379" s="15" t="str">
        <x:v>2026-02</x:v>
      </x:c>
      <x:c r="C379" s="15" t="str">
        <x:v>Calzado</x:v>
      </x:c>
      <x:c r="D379" s="15" t="str">
        <x:v>Online</x:v>
      </x:c>
      <x:c r="E379" s="15" t="n">
        <x:v>1</x:v>
      </x:c>
      <x:c r="F379" s="15" t="n">
        <x:v>0</x:v>
      </x:c>
      <x:c r="G379" s="19" t="n">
        <x:v>90</x:v>
      </x:c>
      <x:c r="H379" s="19" t="n">
        <x:v>42</x:v>
      </x:c>
      <x:c r="I379" s="17" t="n">
        <x:v>0.1</x:v>
      </x:c>
      <x:c r="J379" s="19" t="n">
        <x:v>6</x:v>
      </x:c>
      <x:c r="K379" s="19" t="n">
        <x:f>E379*G379</x:f>
        <x:v>90</x:v>
      </x:c>
      <x:c r="L379" s="19" t="n">
        <x:f>K379*I379</x:f>
        <x:v>9</x:v>
      </x:c>
      <x:c r="M379" s="19" t="n">
        <x:f>(E379-F379)*G379*(1-I379)</x:f>
        <x:v>81</x:v>
      </x:c>
      <x:c r="N379" s="19" t="n">
        <x:f>(E379-F379)*H379</x:f>
        <x:v>42</x:v>
      </x:c>
      <x:c r="O379" s="19" t="n">
        <x:f>F379*J379</x:f>
        <x:v>0</x:v>
      </x:c>
      <x:c r="P379" s="19" t="n">
        <x:f>M379-N379-O379</x:f>
        <x:v>39</x:v>
      </x:c>
    </x:row>
    <x:row r="380">
      <x:c r="A380" s="15" t="str">
        <x:v>SIM-0376</x:v>
      </x:c>
      <x:c r="B380" s="15" t="str">
        <x:v>2026-02</x:v>
      </x:c>
      <x:c r="C380" s="15" t="str">
        <x:v>Calzado</x:v>
      </x:c>
      <x:c r="D380" s="15" t="str">
        <x:v>Online</x:v>
      </x:c>
      <x:c r="E380" s="15" t="n">
        <x:v>1</x:v>
      </x:c>
      <x:c r="F380" s="15" t="n">
        <x:v>0</x:v>
      </x:c>
      <x:c r="G380" s="19" t="n">
        <x:v>90</x:v>
      </x:c>
      <x:c r="H380" s="19" t="n">
        <x:v>42</x:v>
      </x:c>
      <x:c r="I380" s="17" t="n">
        <x:v>0</x:v>
      </x:c>
      <x:c r="J380" s="19" t="n">
        <x:v>6</x:v>
      </x:c>
      <x:c r="K380" s="19" t="n">
        <x:f>E380*G380</x:f>
        <x:v>90</x:v>
      </x:c>
      <x:c r="L380" s="19" t="n">
        <x:f>K380*I380</x:f>
        <x:v>0</x:v>
      </x:c>
      <x:c r="M380" s="19" t="n">
        <x:f>(E380-F380)*G380*(1-I380)</x:f>
        <x:v>90</x:v>
      </x:c>
      <x:c r="N380" s="19" t="n">
        <x:f>(E380-F380)*H380</x:f>
        <x:v>42</x:v>
      </x:c>
      <x:c r="O380" s="19" t="n">
        <x:f>F380*J380</x:f>
        <x:v>0</x:v>
      </x:c>
      <x:c r="P380" s="19" t="n">
        <x:f>M380-N380-O380</x:f>
        <x:v>48</x:v>
      </x:c>
    </x:row>
    <x:row r="381">
      <x:c r="A381" s="15" t="str">
        <x:v>SIM-0377</x:v>
      </x:c>
      <x:c r="B381" s="15" t="str">
        <x:v>2026-02</x:v>
      </x:c>
      <x:c r="C381" s="15" t="str">
        <x:v>Prendas</x:v>
      </x:c>
      <x:c r="D381" s="15" t="str">
        <x:v>Online</x:v>
      </x:c>
      <x:c r="E381" s="15" t="n">
        <x:v>2</x:v>
      </x:c>
      <x:c r="F381" s="15" t="n">
        <x:v>0</x:v>
      </x:c>
      <x:c r="G381" s="19" t="n">
        <x:v>60</x:v>
      </x:c>
      <x:c r="H381" s="19" t="n">
        <x:v>24</x:v>
      </x:c>
      <x:c r="I381" s="17" t="n">
        <x:v>0</x:v>
      </x:c>
      <x:c r="J381" s="19" t="n">
        <x:v>6</x:v>
      </x:c>
      <x:c r="K381" s="19" t="n">
        <x:f>E381*G381</x:f>
        <x:v>120</x:v>
      </x:c>
      <x:c r="L381" s="19" t="n">
        <x:f>K381*I381</x:f>
        <x:v>0</x:v>
      </x:c>
      <x:c r="M381" s="19" t="n">
        <x:f>(E381-F381)*G381*(1-I381)</x:f>
        <x:v>120</x:v>
      </x:c>
      <x:c r="N381" s="19" t="n">
        <x:f>(E381-F381)*H381</x:f>
        <x:v>48</x:v>
      </x:c>
      <x:c r="O381" s="19" t="n">
        <x:f>F381*J381</x:f>
        <x:v>0</x:v>
      </x:c>
      <x:c r="P381" s="19" t="n">
        <x:f>M381-N381-O381</x:f>
        <x:v>72</x:v>
      </x:c>
    </x:row>
    <x:row r="382">
      <x:c r="A382" s="15" t="str">
        <x:v>SIM-0378</x:v>
      </x:c>
      <x:c r="B382" s="15" t="str">
        <x:v>2026-02</x:v>
      </x:c>
      <x:c r="C382" s="15" t="str">
        <x:v>Accesorios</x:v>
      </x:c>
      <x:c r="D382" s="15" t="str">
        <x:v>Tienda</x:v>
      </x:c>
      <x:c r="E382" s="15" t="n">
        <x:v>1</x:v>
      </x:c>
      <x:c r="F382" s="15" t="n">
        <x:v>0</x:v>
      </x:c>
      <x:c r="G382" s="19" t="n">
        <x:v>30</x:v>
      </x:c>
      <x:c r="H382" s="19" t="n">
        <x:v>9</x:v>
      </x:c>
      <x:c r="I382" s="17" t="n">
        <x:v>0.1</x:v>
      </x:c>
      <x:c r="J382" s="19" t="n">
        <x:v>2</x:v>
      </x:c>
      <x:c r="K382" s="19" t="n">
        <x:f>E382*G382</x:f>
        <x:v>30</x:v>
      </x:c>
      <x:c r="L382" s="19" t="n">
        <x:f>K382*I382</x:f>
        <x:v>3</x:v>
      </x:c>
      <x:c r="M382" s="19" t="n">
        <x:f>(E382-F382)*G382*(1-I382)</x:f>
        <x:v>27</x:v>
      </x:c>
      <x:c r="N382" s="19" t="n">
        <x:f>(E382-F382)*H382</x:f>
        <x:v>9</x:v>
      </x:c>
      <x:c r="O382" s="19" t="n">
        <x:f>F382*J382</x:f>
        <x:v>0</x:v>
      </x:c>
      <x:c r="P382" s="19" t="n">
        <x:f>M382-N382-O382</x:f>
        <x:v>18</x:v>
      </x:c>
    </x:row>
    <x:row r="383">
      <x:c r="A383" s="15" t="str">
        <x:v>SIM-0379</x:v>
      </x:c>
      <x:c r="B383" s="15" t="str">
        <x:v>2026-02</x:v>
      </x:c>
      <x:c r="C383" s="15" t="str">
        <x:v>Calzado</x:v>
      </x:c>
      <x:c r="D383" s="15" t="str">
        <x:v>Online</x:v>
      </x:c>
      <x:c r="E383" s="15" t="n">
        <x:v>1</x:v>
      </x:c>
      <x:c r="F383" s="15" t="n">
        <x:v>0</x:v>
      </x:c>
      <x:c r="G383" s="19" t="n">
        <x:v>90</x:v>
      </x:c>
      <x:c r="H383" s="19" t="n">
        <x:v>42</x:v>
      </x:c>
      <x:c r="I383" s="17" t="n">
        <x:v>0.3</x:v>
      </x:c>
      <x:c r="J383" s="19" t="n">
        <x:v>6</x:v>
      </x:c>
      <x:c r="K383" s="19" t="n">
        <x:f>E383*G383</x:f>
        <x:v>90</x:v>
      </x:c>
      <x:c r="L383" s="19" t="n">
        <x:f>K383*I383</x:f>
        <x:v>27</x:v>
      </x:c>
      <x:c r="M383" s="19" t="n">
        <x:f>(E383-F383)*G383*(1-I383)</x:f>
        <x:v>62.99999999999999</x:v>
      </x:c>
      <x:c r="N383" s="19" t="n">
        <x:f>(E383-F383)*H383</x:f>
        <x:v>42</x:v>
      </x:c>
      <x:c r="O383" s="19" t="n">
        <x:f>F383*J383</x:f>
        <x:v>0</x:v>
      </x:c>
      <x:c r="P383" s="19" t="n">
        <x:f>M383-N383-O383</x:f>
        <x:v>20.999999999999993</x:v>
      </x:c>
    </x:row>
    <x:row r="384">
      <x:c r="A384" s="15" t="str">
        <x:v>SIM-0380</x:v>
      </x:c>
      <x:c r="B384" s="15" t="str">
        <x:v>2026-02</x:v>
      </x:c>
      <x:c r="C384" s="15" t="str">
        <x:v>Prendas</x:v>
      </x:c>
      <x:c r="D384" s="15" t="str">
        <x:v>Online</x:v>
      </x:c>
      <x:c r="E384" s="15" t="n">
        <x:v>1</x:v>
      </x:c>
      <x:c r="F384" s="15" t="n">
        <x:v>0</x:v>
      </x:c>
      <x:c r="G384" s="19" t="n">
        <x:v>60</x:v>
      </x:c>
      <x:c r="H384" s="19" t="n">
        <x:v>24</x:v>
      </x:c>
      <x:c r="I384" s="17" t="n">
        <x:v>0.1</x:v>
      </x:c>
      <x:c r="J384" s="19" t="n">
        <x:v>6</x:v>
      </x:c>
      <x:c r="K384" s="19" t="n">
        <x:f>E384*G384</x:f>
        <x:v>60</x:v>
      </x:c>
      <x:c r="L384" s="19" t="n">
        <x:f>K384*I384</x:f>
        <x:v>6</x:v>
      </x:c>
      <x:c r="M384" s="19" t="n">
        <x:f>(E384-F384)*G384*(1-I384)</x:f>
        <x:v>54</x:v>
      </x:c>
      <x:c r="N384" s="19" t="n">
        <x:f>(E384-F384)*H384</x:f>
        <x:v>24</x:v>
      </x:c>
      <x:c r="O384" s="19" t="n">
        <x:f>F384*J384</x:f>
        <x:v>0</x:v>
      </x:c>
      <x:c r="P384" s="19" t="n">
        <x:f>M384-N384-O384</x:f>
        <x:v>30</x:v>
      </x:c>
    </x:row>
    <x:row r="385">
      <x:c r="A385" s="15" t="str">
        <x:v>SIM-0381</x:v>
      </x:c>
      <x:c r="B385" s="15" t="str">
        <x:v>2026-02</x:v>
      </x:c>
      <x:c r="C385" s="15" t="str">
        <x:v>Prendas</x:v>
      </x:c>
      <x:c r="D385" s="15" t="str">
        <x:v>Tienda</x:v>
      </x:c>
      <x:c r="E385" s="15" t="n">
        <x:v>1</x:v>
      </x:c>
      <x:c r="F385" s="15" t="n">
        <x:v>0</x:v>
      </x:c>
      <x:c r="G385" s="19" t="n">
        <x:v>60</x:v>
      </x:c>
      <x:c r="H385" s="19" t="n">
        <x:v>24</x:v>
      </x:c>
      <x:c r="I385" s="17" t="n">
        <x:v>0.3</x:v>
      </x:c>
      <x:c r="J385" s="19" t="n">
        <x:v>2</x:v>
      </x:c>
      <x:c r="K385" s="19" t="n">
        <x:f>E385*G385</x:f>
        <x:v>60</x:v>
      </x:c>
      <x:c r="L385" s="19" t="n">
        <x:f>K385*I385</x:f>
        <x:v>18</x:v>
      </x:c>
      <x:c r="M385" s="19" t="n">
        <x:f>(E385-F385)*G385*(1-I385)</x:f>
        <x:v>42</x:v>
      </x:c>
      <x:c r="N385" s="19" t="n">
        <x:f>(E385-F385)*H385</x:f>
        <x:v>24</x:v>
      </x:c>
      <x:c r="O385" s="19" t="n">
        <x:f>F385*J385</x:f>
        <x:v>0</x:v>
      </x:c>
      <x:c r="P385" s="19" t="n">
        <x:f>M385-N385-O385</x:f>
        <x:v>18</x:v>
      </x:c>
    </x:row>
    <x:row r="386">
      <x:c r="A386" s="15" t="str">
        <x:v>SIM-0382</x:v>
      </x:c>
      <x:c r="B386" s="15" t="str">
        <x:v>2026-02</x:v>
      </x:c>
      <x:c r="C386" s="15" t="str">
        <x:v>Prendas</x:v>
      </x:c>
      <x:c r="D386" s="15" t="str">
        <x:v>Tienda</x:v>
      </x:c>
      <x:c r="E386" s="15" t="n">
        <x:v>1</x:v>
      </x:c>
      <x:c r="F386" s="15" t="n">
        <x:v>0</x:v>
      </x:c>
      <x:c r="G386" s="19" t="n">
        <x:v>60</x:v>
      </x:c>
      <x:c r="H386" s="19" t="n">
        <x:v>24</x:v>
      </x:c>
      <x:c r="I386" s="17" t="n">
        <x:v>0.2</x:v>
      </x:c>
      <x:c r="J386" s="19" t="n">
        <x:v>2</x:v>
      </x:c>
      <x:c r="K386" s="19" t="n">
        <x:f>E386*G386</x:f>
        <x:v>60</x:v>
      </x:c>
      <x:c r="L386" s="19" t="n">
        <x:f>K386*I386</x:f>
        <x:v>12</x:v>
      </x:c>
      <x:c r="M386" s="19" t="n">
        <x:f>(E386-F386)*G386*(1-I386)</x:f>
        <x:v>48</x:v>
      </x:c>
      <x:c r="N386" s="19" t="n">
        <x:f>(E386-F386)*H386</x:f>
        <x:v>24</x:v>
      </x:c>
      <x:c r="O386" s="19" t="n">
        <x:f>F386*J386</x:f>
        <x:v>0</x:v>
      </x:c>
      <x:c r="P386" s="19" t="n">
        <x:f>M386-N386-O386</x:f>
        <x:v>24</x:v>
      </x:c>
    </x:row>
    <x:row r="387">
      <x:c r="A387" s="15" t="str">
        <x:v>SIM-0383</x:v>
      </x:c>
      <x:c r="B387" s="15" t="str">
        <x:v>2026-02</x:v>
      </x:c>
      <x:c r="C387" s="15" t="str">
        <x:v>Accesorios</x:v>
      </x:c>
      <x:c r="D387" s="15" t="str">
        <x:v>Tienda</x:v>
      </x:c>
      <x:c r="E387" s="15" t="n">
        <x:v>1</x:v>
      </x:c>
      <x:c r="F387" s="15" t="n">
        <x:v>0</x:v>
      </x:c>
      <x:c r="G387" s="19" t="n">
        <x:v>30</x:v>
      </x:c>
      <x:c r="H387" s="19" t="n">
        <x:v>9</x:v>
      </x:c>
      <x:c r="I387" s="17" t="n">
        <x:v>0.1</x:v>
      </x:c>
      <x:c r="J387" s="19" t="n">
        <x:v>2</x:v>
      </x:c>
      <x:c r="K387" s="19" t="n">
        <x:f>E387*G387</x:f>
        <x:v>30</x:v>
      </x:c>
      <x:c r="L387" s="19" t="n">
        <x:f>K387*I387</x:f>
        <x:v>3</x:v>
      </x:c>
      <x:c r="M387" s="19" t="n">
        <x:f>(E387-F387)*G387*(1-I387)</x:f>
        <x:v>27</x:v>
      </x:c>
      <x:c r="N387" s="19" t="n">
        <x:f>(E387-F387)*H387</x:f>
        <x:v>9</x:v>
      </x:c>
      <x:c r="O387" s="19" t="n">
        <x:f>F387*J387</x:f>
        <x:v>0</x:v>
      </x:c>
      <x:c r="P387" s="19" t="n">
        <x:f>M387-N387-O387</x:f>
        <x:v>18</x:v>
      </x:c>
    </x:row>
    <x:row r="388">
      <x:c r="A388" s="15" t="str">
        <x:v>SIM-0384</x:v>
      </x:c>
      <x:c r="B388" s="15" t="str">
        <x:v>2026-02</x:v>
      </x:c>
      <x:c r="C388" s="15" t="str">
        <x:v>Calzado</x:v>
      </x:c>
      <x:c r="D388" s="15" t="str">
        <x:v>Online</x:v>
      </x:c>
      <x:c r="E388" s="15" t="n">
        <x:v>1</x:v>
      </x:c>
      <x:c r="F388" s="15" t="n">
        <x:v>1</x:v>
      </x:c>
      <x:c r="G388" s="19" t="n">
        <x:v>90</x:v>
      </x:c>
      <x:c r="H388" s="19" t="n">
        <x:v>42</x:v>
      </x:c>
      <x:c r="I388" s="17" t="n">
        <x:v>0.1</x:v>
      </x:c>
      <x:c r="J388" s="19" t="n">
        <x:v>6</x:v>
      </x:c>
      <x:c r="K388" s="19" t="n">
        <x:f>E388*G388</x:f>
        <x:v>90</x:v>
      </x:c>
      <x:c r="L388" s="19" t="n">
        <x:f>K388*I388</x:f>
        <x:v>9</x:v>
      </x:c>
      <x:c r="M388" s="19" t="n">
        <x:f>(E388-F388)*G388*(1-I388)</x:f>
        <x:v>0</x:v>
      </x:c>
      <x:c r="N388" s="19" t="n">
        <x:f>(E388-F388)*H388</x:f>
        <x:v>0</x:v>
      </x:c>
      <x:c r="O388" s="19" t="n">
        <x:f>F388*J388</x:f>
        <x:v>6</x:v>
      </x:c>
      <x:c r="P388" s="19" t="n">
        <x:f>M388-N388-O388</x:f>
        <x:v>-6</x:v>
      </x:c>
    </x:row>
    <x:row r="389">
      <x:c r="A389" s="15" t="str">
        <x:v>SIM-0385</x:v>
      </x:c>
      <x:c r="B389" s="15" t="str">
        <x:v>2026-02</x:v>
      </x:c>
      <x:c r="C389" s="15" t="str">
        <x:v>Prendas</x:v>
      </x:c>
      <x:c r="D389" s="15" t="str">
        <x:v>Tienda</x:v>
      </x:c>
      <x:c r="E389" s="15" t="n">
        <x:v>1</x:v>
      </x:c>
      <x:c r="F389" s="15" t="n">
        <x:v>0</x:v>
      </x:c>
      <x:c r="G389" s="19" t="n">
        <x:v>60</x:v>
      </x:c>
      <x:c r="H389" s="19" t="n">
        <x:v>24</x:v>
      </x:c>
      <x:c r="I389" s="17" t="n">
        <x:v>0.2</x:v>
      </x:c>
      <x:c r="J389" s="19" t="n">
        <x:v>2</x:v>
      </x:c>
      <x:c r="K389" s="19" t="n">
        <x:f>E389*G389</x:f>
        <x:v>60</x:v>
      </x:c>
      <x:c r="L389" s="19" t="n">
        <x:f>K389*I389</x:f>
        <x:v>12</x:v>
      </x:c>
      <x:c r="M389" s="19" t="n">
        <x:f>(E389-F389)*G389*(1-I389)</x:f>
        <x:v>48</x:v>
      </x:c>
      <x:c r="N389" s="19" t="n">
        <x:f>(E389-F389)*H389</x:f>
        <x:v>24</x:v>
      </x:c>
      <x:c r="O389" s="19" t="n">
        <x:f>F389*J389</x:f>
        <x:v>0</x:v>
      </x:c>
      <x:c r="P389" s="19" t="n">
        <x:f>M389-N389-O389</x:f>
        <x:v>24</x:v>
      </x:c>
    </x:row>
    <x:row r="390">
      <x:c r="A390" s="15" t="str">
        <x:v>SIM-0386</x:v>
      </x:c>
      <x:c r="B390" s="15" t="str">
        <x:v>2026-02</x:v>
      </x:c>
      <x:c r="C390" s="15" t="str">
        <x:v>Prendas</x:v>
      </x:c>
      <x:c r="D390" s="15" t="str">
        <x:v>Online</x:v>
      </x:c>
      <x:c r="E390" s="15" t="n">
        <x:v>3</x:v>
      </x:c>
      <x:c r="F390" s="15" t="n">
        <x:v>0</x:v>
      </x:c>
      <x:c r="G390" s="19" t="n">
        <x:v>60</x:v>
      </x:c>
      <x:c r="H390" s="19" t="n">
        <x:v>24</x:v>
      </x:c>
      <x:c r="I390" s="17" t="n">
        <x:v>0.1</x:v>
      </x:c>
      <x:c r="J390" s="19" t="n">
        <x:v>6</x:v>
      </x:c>
      <x:c r="K390" s="19" t="n">
        <x:f>E390*G390</x:f>
        <x:v>180</x:v>
      </x:c>
      <x:c r="L390" s="19" t="n">
        <x:f>K390*I390</x:f>
        <x:v>18</x:v>
      </x:c>
      <x:c r="M390" s="19" t="n">
        <x:f>(E390-F390)*G390*(1-I390)</x:f>
        <x:v>162</x:v>
      </x:c>
      <x:c r="N390" s="19" t="n">
        <x:f>(E390-F390)*H390</x:f>
        <x:v>72</x:v>
      </x:c>
      <x:c r="O390" s="19" t="n">
        <x:f>F390*J390</x:f>
        <x:v>0</x:v>
      </x:c>
      <x:c r="P390" s="19" t="n">
        <x:f>M390-N390-O390</x:f>
        <x:v>90</x:v>
      </x:c>
    </x:row>
    <x:row r="391">
      <x:c r="A391" s="15" t="str">
        <x:v>SIM-0387</x:v>
      </x:c>
      <x:c r="B391" s="15" t="str">
        <x:v>2026-02</x:v>
      </x:c>
      <x:c r="C391" s="15" t="str">
        <x:v>Prendas</x:v>
      </x:c>
      <x:c r="D391" s="15" t="str">
        <x:v>Tienda</x:v>
      </x:c>
      <x:c r="E391" s="15" t="n">
        <x:v>1</x:v>
      </x:c>
      <x:c r="F391" s="15" t="n">
        <x:v>0</x:v>
      </x:c>
      <x:c r="G391" s="19" t="n">
        <x:v>60</x:v>
      </x:c>
      <x:c r="H391" s="19" t="n">
        <x:v>24</x:v>
      </x:c>
      <x:c r="I391" s="17" t="n">
        <x:v>0</x:v>
      </x:c>
      <x:c r="J391" s="19" t="n">
        <x:v>2</x:v>
      </x:c>
      <x:c r="K391" s="19" t="n">
        <x:f>E391*G391</x:f>
        <x:v>60</x:v>
      </x:c>
      <x:c r="L391" s="19" t="n">
        <x:f>K391*I391</x:f>
        <x:v>0</x:v>
      </x:c>
      <x:c r="M391" s="19" t="n">
        <x:f>(E391-F391)*G391*(1-I391)</x:f>
        <x:v>60</x:v>
      </x:c>
      <x:c r="N391" s="19" t="n">
        <x:f>(E391-F391)*H391</x:f>
        <x:v>24</x:v>
      </x:c>
      <x:c r="O391" s="19" t="n">
        <x:f>F391*J391</x:f>
        <x:v>0</x:v>
      </x:c>
      <x:c r="P391" s="19" t="n">
        <x:f>M391-N391-O391</x:f>
        <x:v>36</x:v>
      </x:c>
    </x:row>
    <x:row r="392">
      <x:c r="A392" s="15" t="str">
        <x:v>SIM-0388</x:v>
      </x:c>
      <x:c r="B392" s="15" t="str">
        <x:v>2026-02</x:v>
      </x:c>
      <x:c r="C392" s="15" t="str">
        <x:v>Accesorios</x:v>
      </x:c>
      <x:c r="D392" s="15" t="str">
        <x:v>Online</x:v>
      </x:c>
      <x:c r="E392" s="15" t="n">
        <x:v>1</x:v>
      </x:c>
      <x:c r="F392" s="15" t="n">
        <x:v>0</x:v>
      </x:c>
      <x:c r="G392" s="19" t="n">
        <x:v>30</x:v>
      </x:c>
      <x:c r="H392" s="19" t="n">
        <x:v>9</x:v>
      </x:c>
      <x:c r="I392" s="17" t="n">
        <x:v>0</x:v>
      </x:c>
      <x:c r="J392" s="19" t="n">
        <x:v>6</x:v>
      </x:c>
      <x:c r="K392" s="19" t="n">
        <x:f>E392*G392</x:f>
        <x:v>30</x:v>
      </x:c>
      <x:c r="L392" s="19" t="n">
        <x:f>K392*I392</x:f>
        <x:v>0</x:v>
      </x:c>
      <x:c r="M392" s="19" t="n">
        <x:f>(E392-F392)*G392*(1-I392)</x:f>
        <x:v>30</x:v>
      </x:c>
      <x:c r="N392" s="19" t="n">
        <x:f>(E392-F392)*H392</x:f>
        <x:v>9</x:v>
      </x:c>
      <x:c r="O392" s="19" t="n">
        <x:f>F392*J392</x:f>
        <x:v>0</x:v>
      </x:c>
      <x:c r="P392" s="19" t="n">
        <x:f>M392-N392-O392</x:f>
        <x:v>21</x:v>
      </x:c>
    </x:row>
    <x:row r="393">
      <x:c r="A393" s="15" t="str">
        <x:v>SIM-0389</x:v>
      </x:c>
      <x:c r="B393" s="15" t="str">
        <x:v>2026-02</x:v>
      </x:c>
      <x:c r="C393" s="15" t="str">
        <x:v>Calzado</x:v>
      </x:c>
      <x:c r="D393" s="15" t="str">
        <x:v>Online</x:v>
      </x:c>
      <x:c r="E393" s="15" t="n">
        <x:v>1</x:v>
      </x:c>
      <x:c r="F393" s="15" t="n">
        <x:v>0</x:v>
      </x:c>
      <x:c r="G393" s="19" t="n">
        <x:v>90</x:v>
      </x:c>
      <x:c r="H393" s="19" t="n">
        <x:v>42</x:v>
      </x:c>
      <x:c r="I393" s="17" t="n">
        <x:v>0</x:v>
      </x:c>
      <x:c r="J393" s="19" t="n">
        <x:v>6</x:v>
      </x:c>
      <x:c r="K393" s="19" t="n">
        <x:f>E393*G393</x:f>
        <x:v>90</x:v>
      </x:c>
      <x:c r="L393" s="19" t="n">
        <x:f>K393*I393</x:f>
        <x:v>0</x:v>
      </x:c>
      <x:c r="M393" s="19" t="n">
        <x:f>(E393-F393)*G393*(1-I393)</x:f>
        <x:v>90</x:v>
      </x:c>
      <x:c r="N393" s="19" t="n">
        <x:f>(E393-F393)*H393</x:f>
        <x:v>42</x:v>
      </x:c>
      <x:c r="O393" s="19" t="n">
        <x:f>F393*J393</x:f>
        <x:v>0</x:v>
      </x:c>
      <x:c r="P393" s="19" t="n">
        <x:f>M393-N393-O393</x:f>
        <x:v>48</x:v>
      </x:c>
    </x:row>
    <x:row r="394">
      <x:c r="A394" s="15" t="str">
        <x:v>SIM-0390</x:v>
      </x:c>
      <x:c r="B394" s="15" t="str">
        <x:v>2026-02</x:v>
      </x:c>
      <x:c r="C394" s="15" t="str">
        <x:v>Prendas</x:v>
      </x:c>
      <x:c r="D394" s="15" t="str">
        <x:v>Online</x:v>
      </x:c>
      <x:c r="E394" s="15" t="n">
        <x:v>1</x:v>
      </x:c>
      <x:c r="F394" s="15" t="n">
        <x:v>0</x:v>
      </x:c>
      <x:c r="G394" s="19" t="n">
        <x:v>60</x:v>
      </x:c>
      <x:c r="H394" s="19" t="n">
        <x:v>24</x:v>
      </x:c>
      <x:c r="I394" s="17" t="n">
        <x:v>0.3</x:v>
      </x:c>
      <x:c r="J394" s="19" t="n">
        <x:v>6</x:v>
      </x:c>
      <x:c r="K394" s="19" t="n">
        <x:f>E394*G394</x:f>
        <x:v>60</x:v>
      </x:c>
      <x:c r="L394" s="19" t="n">
        <x:f>K394*I394</x:f>
        <x:v>18</x:v>
      </x:c>
      <x:c r="M394" s="19" t="n">
        <x:f>(E394-F394)*G394*(1-I394)</x:f>
        <x:v>42</x:v>
      </x:c>
      <x:c r="N394" s="19" t="n">
        <x:f>(E394-F394)*H394</x:f>
        <x:v>24</x:v>
      </x:c>
      <x:c r="O394" s="19" t="n">
        <x:f>F394*J394</x:f>
        <x:v>0</x:v>
      </x:c>
      <x:c r="P394" s="19" t="n">
        <x:f>M394-N394-O394</x:f>
        <x:v>18</x:v>
      </x:c>
    </x:row>
    <x:row r="395">
      <x:c r="A395" s="15" t="str">
        <x:v>SIM-0391</x:v>
      </x:c>
      <x:c r="B395" s="15" t="str">
        <x:v>2026-02</x:v>
      </x:c>
      <x:c r="C395" s="15" t="str">
        <x:v>Prendas</x:v>
      </x:c>
      <x:c r="D395" s="15" t="str">
        <x:v>Tienda</x:v>
      </x:c>
      <x:c r="E395" s="15" t="n">
        <x:v>1</x:v>
      </x:c>
      <x:c r="F395" s="15" t="n">
        <x:v>0</x:v>
      </x:c>
      <x:c r="G395" s="19" t="n">
        <x:v>60</x:v>
      </x:c>
      <x:c r="H395" s="19" t="n">
        <x:v>24</x:v>
      </x:c>
      <x:c r="I395" s="17" t="n">
        <x:v>0.2</x:v>
      </x:c>
      <x:c r="J395" s="19" t="n">
        <x:v>2</x:v>
      </x:c>
      <x:c r="K395" s="19" t="n">
        <x:f>E395*G395</x:f>
        <x:v>60</x:v>
      </x:c>
      <x:c r="L395" s="19" t="n">
        <x:f>K395*I395</x:f>
        <x:v>12</x:v>
      </x:c>
      <x:c r="M395" s="19" t="n">
        <x:f>(E395-F395)*G395*(1-I395)</x:f>
        <x:v>48</x:v>
      </x:c>
      <x:c r="N395" s="19" t="n">
        <x:f>(E395-F395)*H395</x:f>
        <x:v>24</x:v>
      </x:c>
      <x:c r="O395" s="19" t="n">
        <x:f>F395*J395</x:f>
        <x:v>0</x:v>
      </x:c>
      <x:c r="P395" s="19" t="n">
        <x:f>M395-N395-O395</x:f>
        <x:v>24</x:v>
      </x:c>
    </x:row>
    <x:row r="396">
      <x:c r="A396" s="15" t="str">
        <x:v>SIM-0392</x:v>
      </x:c>
      <x:c r="B396" s="15" t="str">
        <x:v>2026-02</x:v>
      </x:c>
      <x:c r="C396" s="15" t="str">
        <x:v>Calzado</x:v>
      </x:c>
      <x:c r="D396" s="15" t="str">
        <x:v>Online</x:v>
      </x:c>
      <x:c r="E396" s="15" t="n">
        <x:v>1</x:v>
      </x:c>
      <x:c r="F396" s="15" t="n">
        <x:v>0</x:v>
      </x:c>
      <x:c r="G396" s="19" t="n">
        <x:v>90</x:v>
      </x:c>
      <x:c r="H396" s="19" t="n">
        <x:v>42</x:v>
      </x:c>
      <x:c r="I396" s="17" t="n">
        <x:v>0.3</x:v>
      </x:c>
      <x:c r="J396" s="19" t="n">
        <x:v>6</x:v>
      </x:c>
      <x:c r="K396" s="19" t="n">
        <x:f>E396*G396</x:f>
        <x:v>90</x:v>
      </x:c>
      <x:c r="L396" s="19" t="n">
        <x:f>K396*I396</x:f>
        <x:v>27</x:v>
      </x:c>
      <x:c r="M396" s="19" t="n">
        <x:f>(E396-F396)*G396*(1-I396)</x:f>
        <x:v>62.99999999999999</x:v>
      </x:c>
      <x:c r="N396" s="19" t="n">
        <x:f>(E396-F396)*H396</x:f>
        <x:v>42</x:v>
      </x:c>
      <x:c r="O396" s="19" t="n">
        <x:f>F396*J396</x:f>
        <x:v>0</x:v>
      </x:c>
      <x:c r="P396" s="19" t="n">
        <x:f>M396-N396-O396</x:f>
        <x:v>20.999999999999993</x:v>
      </x:c>
    </x:row>
    <x:row r="397">
      <x:c r="A397" s="15" t="str">
        <x:v>SIM-0393</x:v>
      </x:c>
      <x:c r="B397" s="15" t="str">
        <x:v>2026-02</x:v>
      </x:c>
      <x:c r="C397" s="15" t="str">
        <x:v>Prendas</x:v>
      </x:c>
      <x:c r="D397" s="15" t="str">
        <x:v>Tienda</x:v>
      </x:c>
      <x:c r="E397" s="15" t="n">
        <x:v>1</x:v>
      </x:c>
      <x:c r="F397" s="15" t="n">
        <x:v>1</x:v>
      </x:c>
      <x:c r="G397" s="19" t="n">
        <x:v>60</x:v>
      </x:c>
      <x:c r="H397" s="19" t="n">
        <x:v>24</x:v>
      </x:c>
      <x:c r="I397" s="17" t="n">
        <x:v>0</x:v>
      </x:c>
      <x:c r="J397" s="19" t="n">
        <x:v>2</x:v>
      </x:c>
      <x:c r="K397" s="19" t="n">
        <x:f>E397*G397</x:f>
        <x:v>60</x:v>
      </x:c>
      <x:c r="L397" s="19" t="n">
        <x:f>K397*I397</x:f>
        <x:v>0</x:v>
      </x:c>
      <x:c r="M397" s="19" t="n">
        <x:f>(E397-F397)*G397*(1-I397)</x:f>
        <x:v>0</x:v>
      </x:c>
      <x:c r="N397" s="19" t="n">
        <x:f>(E397-F397)*H397</x:f>
        <x:v>0</x:v>
      </x:c>
      <x:c r="O397" s="19" t="n">
        <x:f>F397*J397</x:f>
        <x:v>2</x:v>
      </x:c>
      <x:c r="P397" s="19" t="n">
        <x:f>M397-N397-O397</x:f>
        <x:v>-2</x:v>
      </x:c>
    </x:row>
    <x:row r="398">
      <x:c r="A398" s="15" t="str">
        <x:v>SIM-0394</x:v>
      </x:c>
      <x:c r="B398" s="15" t="str">
        <x:v>2026-02</x:v>
      </x:c>
      <x:c r="C398" s="15" t="str">
        <x:v>Accesorios</x:v>
      </x:c>
      <x:c r="D398" s="15" t="str">
        <x:v>Online</x:v>
      </x:c>
      <x:c r="E398" s="15" t="n">
        <x:v>1</x:v>
      </x:c>
      <x:c r="F398" s="15" t="n">
        <x:v>0</x:v>
      </x:c>
      <x:c r="G398" s="19" t="n">
        <x:v>30</x:v>
      </x:c>
      <x:c r="H398" s="19" t="n">
        <x:v>9</x:v>
      </x:c>
      <x:c r="I398" s="17" t="n">
        <x:v>0</x:v>
      </x:c>
      <x:c r="J398" s="19" t="n">
        <x:v>6</x:v>
      </x:c>
      <x:c r="K398" s="19" t="n">
        <x:f>E398*G398</x:f>
        <x:v>30</x:v>
      </x:c>
      <x:c r="L398" s="19" t="n">
        <x:f>K398*I398</x:f>
        <x:v>0</x:v>
      </x:c>
      <x:c r="M398" s="19" t="n">
        <x:f>(E398-F398)*G398*(1-I398)</x:f>
        <x:v>30</x:v>
      </x:c>
      <x:c r="N398" s="19" t="n">
        <x:f>(E398-F398)*H398</x:f>
        <x:v>9</x:v>
      </x:c>
      <x:c r="O398" s="19" t="n">
        <x:f>F398*J398</x:f>
        <x:v>0</x:v>
      </x:c>
      <x:c r="P398" s="19" t="n">
        <x:f>M398-N398-O398</x:f>
        <x:v>21</x:v>
      </x:c>
    </x:row>
    <x:row r="399">
      <x:c r="A399" s="15" t="str">
        <x:v>SIM-0395</x:v>
      </x:c>
      <x:c r="B399" s="15" t="str">
        <x:v>2026-02</x:v>
      </x:c>
      <x:c r="C399" s="15" t="str">
        <x:v>Prendas</x:v>
      </x:c>
      <x:c r="D399" s="15" t="str">
        <x:v>Tienda</x:v>
      </x:c>
      <x:c r="E399" s="15" t="n">
        <x:v>3</x:v>
      </x:c>
      <x:c r="F399" s="15" t="n">
        <x:v>0</x:v>
      </x:c>
      <x:c r="G399" s="19" t="n">
        <x:v>60</x:v>
      </x:c>
      <x:c r="H399" s="19" t="n">
        <x:v>24</x:v>
      </x:c>
      <x:c r="I399" s="17" t="n">
        <x:v>0</x:v>
      </x:c>
      <x:c r="J399" s="19" t="n">
        <x:v>2</x:v>
      </x:c>
      <x:c r="K399" s="19" t="n">
        <x:f>E399*G399</x:f>
        <x:v>180</x:v>
      </x:c>
      <x:c r="L399" s="19" t="n">
        <x:f>K399*I399</x:f>
        <x:v>0</x:v>
      </x:c>
      <x:c r="M399" s="19" t="n">
        <x:f>(E399-F399)*G399*(1-I399)</x:f>
        <x:v>180</x:v>
      </x:c>
      <x:c r="N399" s="19" t="n">
        <x:f>(E399-F399)*H399</x:f>
        <x:v>72</x:v>
      </x:c>
      <x:c r="O399" s="19" t="n">
        <x:f>F399*J399</x:f>
        <x:v>0</x:v>
      </x:c>
      <x:c r="P399" s="19" t="n">
        <x:f>M399-N399-O399</x:f>
        <x:v>108</x:v>
      </x:c>
    </x:row>
    <x:row r="400">
      <x:c r="A400" s="15" t="str">
        <x:v>SIM-0396</x:v>
      </x:c>
      <x:c r="B400" s="15" t="str">
        <x:v>2026-02</x:v>
      </x:c>
      <x:c r="C400" s="15" t="str">
        <x:v>Accesorios</x:v>
      </x:c>
      <x:c r="D400" s="15" t="str">
        <x:v>Online</x:v>
      </x:c>
      <x:c r="E400" s="15" t="n">
        <x:v>2</x:v>
      </x:c>
      <x:c r="F400" s="15" t="n">
        <x:v>0</x:v>
      </x:c>
      <x:c r="G400" s="19" t="n">
        <x:v>30</x:v>
      </x:c>
      <x:c r="H400" s="19" t="n">
        <x:v>9</x:v>
      </x:c>
      <x:c r="I400" s="17" t="n">
        <x:v>0</x:v>
      </x:c>
      <x:c r="J400" s="19" t="n">
        <x:v>6</x:v>
      </x:c>
      <x:c r="K400" s="19" t="n">
        <x:f>E400*G400</x:f>
        <x:v>60</x:v>
      </x:c>
      <x:c r="L400" s="19" t="n">
        <x:f>K400*I400</x:f>
        <x:v>0</x:v>
      </x:c>
      <x:c r="M400" s="19" t="n">
        <x:f>(E400-F400)*G400*(1-I400)</x:f>
        <x:v>60</x:v>
      </x:c>
      <x:c r="N400" s="19" t="n">
        <x:f>(E400-F400)*H400</x:f>
        <x:v>18</x:v>
      </x:c>
      <x:c r="O400" s="19" t="n">
        <x:f>F400*J400</x:f>
        <x:v>0</x:v>
      </x:c>
      <x:c r="P400" s="19" t="n">
        <x:f>M400-N400-O400</x:f>
        <x:v>42</x:v>
      </x:c>
    </x:row>
    <x:row r="401">
      <x:c r="A401" s="15" t="str">
        <x:v>SIM-0397</x:v>
      </x:c>
      <x:c r="B401" s="15" t="str">
        <x:v>2026-02</x:v>
      </x:c>
      <x:c r="C401" s="15" t="str">
        <x:v>Prendas</x:v>
      </x:c>
      <x:c r="D401" s="15" t="str">
        <x:v>Online</x:v>
      </x:c>
      <x:c r="E401" s="15" t="n">
        <x:v>1</x:v>
      </x:c>
      <x:c r="F401" s="15" t="n">
        <x:v>0</x:v>
      </x:c>
      <x:c r="G401" s="19" t="n">
        <x:v>60</x:v>
      </x:c>
      <x:c r="H401" s="19" t="n">
        <x:v>24</x:v>
      </x:c>
      <x:c r="I401" s="17" t="n">
        <x:v>0.3</x:v>
      </x:c>
      <x:c r="J401" s="19" t="n">
        <x:v>6</x:v>
      </x:c>
      <x:c r="K401" s="19" t="n">
        <x:f>E401*G401</x:f>
        <x:v>60</x:v>
      </x:c>
      <x:c r="L401" s="19" t="n">
        <x:f>K401*I401</x:f>
        <x:v>18</x:v>
      </x:c>
      <x:c r="M401" s="19" t="n">
        <x:f>(E401-F401)*G401*(1-I401)</x:f>
        <x:v>42</x:v>
      </x:c>
      <x:c r="N401" s="19" t="n">
        <x:f>(E401-F401)*H401</x:f>
        <x:v>24</x:v>
      </x:c>
      <x:c r="O401" s="19" t="n">
        <x:f>F401*J401</x:f>
        <x:v>0</x:v>
      </x:c>
      <x:c r="P401" s="19" t="n">
        <x:f>M401-N401-O401</x:f>
        <x:v>18</x:v>
      </x:c>
    </x:row>
    <x:row r="402">
      <x:c r="A402" s="15" t="str">
        <x:v>SIM-0398</x:v>
      </x:c>
      <x:c r="B402" s="15" t="str">
        <x:v>2026-02</x:v>
      </x:c>
      <x:c r="C402" s="15" t="str">
        <x:v>Prendas</x:v>
      </x:c>
      <x:c r="D402" s="15" t="str">
        <x:v>Tienda</x:v>
      </x:c>
      <x:c r="E402" s="15" t="n">
        <x:v>1</x:v>
      </x:c>
      <x:c r="F402" s="15" t="n">
        <x:v>0</x:v>
      </x:c>
      <x:c r="G402" s="19" t="n">
        <x:v>60</x:v>
      </x:c>
      <x:c r="H402" s="19" t="n">
        <x:v>24</x:v>
      </x:c>
      <x:c r="I402" s="17" t="n">
        <x:v>0</x:v>
      </x:c>
      <x:c r="J402" s="19" t="n">
        <x:v>2</x:v>
      </x:c>
      <x:c r="K402" s="19" t="n">
        <x:f>E402*G402</x:f>
        <x:v>60</x:v>
      </x:c>
      <x:c r="L402" s="19" t="n">
        <x:f>K402*I402</x:f>
        <x:v>0</x:v>
      </x:c>
      <x:c r="M402" s="19" t="n">
        <x:f>(E402-F402)*G402*(1-I402)</x:f>
        <x:v>60</x:v>
      </x:c>
      <x:c r="N402" s="19" t="n">
        <x:f>(E402-F402)*H402</x:f>
        <x:v>24</x:v>
      </x:c>
      <x:c r="O402" s="19" t="n">
        <x:f>F402*J402</x:f>
        <x:v>0</x:v>
      </x:c>
      <x:c r="P402" s="19" t="n">
        <x:f>M402-N402-O402</x:f>
        <x:v>36</x:v>
      </x:c>
    </x:row>
    <x:row r="403">
      <x:c r="A403" s="15" t="str">
        <x:v>SIM-0399</x:v>
      </x:c>
      <x:c r="B403" s="15" t="str">
        <x:v>2026-02</x:v>
      </x:c>
      <x:c r="C403" s="15" t="str">
        <x:v>Calzado</x:v>
      </x:c>
      <x:c r="D403" s="15" t="str">
        <x:v>Online</x:v>
      </x:c>
      <x:c r="E403" s="15" t="n">
        <x:v>1</x:v>
      </x:c>
      <x:c r="F403" s="15" t="n">
        <x:v>0</x:v>
      </x:c>
      <x:c r="G403" s="19" t="n">
        <x:v>90</x:v>
      </x:c>
      <x:c r="H403" s="19" t="n">
        <x:v>42</x:v>
      </x:c>
      <x:c r="I403" s="17" t="n">
        <x:v>0.3</x:v>
      </x:c>
      <x:c r="J403" s="19" t="n">
        <x:v>6</x:v>
      </x:c>
      <x:c r="K403" s="19" t="n">
        <x:f>E403*G403</x:f>
        <x:v>90</x:v>
      </x:c>
      <x:c r="L403" s="19" t="n">
        <x:f>K403*I403</x:f>
        <x:v>27</x:v>
      </x:c>
      <x:c r="M403" s="19" t="n">
        <x:f>(E403-F403)*G403*(1-I403)</x:f>
        <x:v>62.99999999999999</x:v>
      </x:c>
      <x:c r="N403" s="19" t="n">
        <x:f>(E403-F403)*H403</x:f>
        <x:v>42</x:v>
      </x:c>
      <x:c r="O403" s="19" t="n">
        <x:f>F403*J403</x:f>
        <x:v>0</x:v>
      </x:c>
      <x:c r="P403" s="19" t="n">
        <x:f>M403-N403-O403</x:f>
        <x:v>20.999999999999993</x:v>
      </x:c>
    </x:row>
    <x:row r="404">
      <x:c r="A404" s="15" t="str">
        <x:v>SIM-0400</x:v>
      </x:c>
      <x:c r="B404" s="15" t="str">
        <x:v>2026-02</x:v>
      </x:c>
      <x:c r="C404" s="15" t="str">
        <x:v>Calzado</x:v>
      </x:c>
      <x:c r="D404" s="15" t="str">
        <x:v>Online</x:v>
      </x:c>
      <x:c r="E404" s="15" t="n">
        <x:v>1</x:v>
      </x:c>
      <x:c r="F404" s="15" t="n">
        <x:v>0</x:v>
      </x:c>
      <x:c r="G404" s="19" t="n">
        <x:v>90</x:v>
      </x:c>
      <x:c r="H404" s="19" t="n">
        <x:v>42</x:v>
      </x:c>
      <x:c r="I404" s="17" t="n">
        <x:v>0.1</x:v>
      </x:c>
      <x:c r="J404" s="19" t="n">
        <x:v>6</x:v>
      </x:c>
      <x:c r="K404" s="19" t="n">
        <x:f>E404*G404</x:f>
        <x:v>90</x:v>
      </x:c>
      <x:c r="L404" s="19" t="n">
        <x:f>K404*I404</x:f>
        <x:v>9</x:v>
      </x:c>
      <x:c r="M404" s="19" t="n">
        <x:f>(E404-F404)*G404*(1-I404)</x:f>
        <x:v>81</x:v>
      </x:c>
      <x:c r="N404" s="19" t="n">
        <x:f>(E404-F404)*H404</x:f>
        <x:v>42</x:v>
      </x:c>
      <x:c r="O404" s="19" t="n">
        <x:f>F404*J404</x:f>
        <x:v>0</x:v>
      </x:c>
      <x:c r="P404" s="19" t="n">
        <x:f>M404-N404-O404</x:f>
        <x:v>39</x:v>
      </x:c>
    </x:row>
    <x:row r="405">
      <x:c r="A405" s="15" t="str">
        <x:v>SIM-0401</x:v>
      </x:c>
      <x:c r="B405" s="15" t="str">
        <x:v>2026-02</x:v>
      </x:c>
      <x:c r="C405" s="15" t="str">
        <x:v>Prendas</x:v>
      </x:c>
      <x:c r="D405" s="15" t="str">
        <x:v>Online</x:v>
      </x:c>
      <x:c r="E405" s="15" t="n">
        <x:v>1</x:v>
      </x:c>
      <x:c r="F405" s="15" t="n">
        <x:v>1</x:v>
      </x:c>
      <x:c r="G405" s="19" t="n">
        <x:v>60</x:v>
      </x:c>
      <x:c r="H405" s="19" t="n">
        <x:v>24</x:v>
      </x:c>
      <x:c r="I405" s="17" t="n">
        <x:v>0</x:v>
      </x:c>
      <x:c r="J405" s="19" t="n">
        <x:v>6</x:v>
      </x:c>
      <x:c r="K405" s="19" t="n">
        <x:f>E405*G405</x:f>
        <x:v>60</x:v>
      </x:c>
      <x:c r="L405" s="19" t="n">
        <x:f>K405*I405</x:f>
        <x:v>0</x:v>
      </x:c>
      <x:c r="M405" s="19" t="n">
        <x:f>(E405-F405)*G405*(1-I405)</x:f>
        <x:v>0</x:v>
      </x:c>
      <x:c r="N405" s="19" t="n">
        <x:f>(E405-F405)*H405</x:f>
        <x:v>0</x:v>
      </x:c>
      <x:c r="O405" s="19" t="n">
        <x:f>F405*J405</x:f>
        <x:v>6</x:v>
      </x:c>
      <x:c r="P405" s="19" t="n">
        <x:f>M405-N405-O405</x:f>
        <x:v>-6</x:v>
      </x:c>
    </x:row>
    <x:row r="406">
      <x:c r="A406" s="15" t="str">
        <x:v>SIM-0402</x:v>
      </x:c>
      <x:c r="B406" s="15" t="str">
        <x:v>2026-02</x:v>
      </x:c>
      <x:c r="C406" s="15" t="str">
        <x:v>Calzado</x:v>
      </x:c>
      <x:c r="D406" s="15" t="str">
        <x:v>Tienda</x:v>
      </x:c>
      <x:c r="E406" s="15" t="n">
        <x:v>2</x:v>
      </x:c>
      <x:c r="F406" s="15" t="n">
        <x:v>0</x:v>
      </x:c>
      <x:c r="G406" s="19" t="n">
        <x:v>90</x:v>
      </x:c>
      <x:c r="H406" s="19" t="n">
        <x:v>42</x:v>
      </x:c>
      <x:c r="I406" s="17" t="n">
        <x:v>0.2</x:v>
      </x:c>
      <x:c r="J406" s="19" t="n">
        <x:v>2</x:v>
      </x:c>
      <x:c r="K406" s="19" t="n">
        <x:f>E406*G406</x:f>
        <x:v>180</x:v>
      </x:c>
      <x:c r="L406" s="19" t="n">
        <x:f>K406*I406</x:f>
        <x:v>36</x:v>
      </x:c>
      <x:c r="M406" s="19" t="n">
        <x:f>(E406-F406)*G406*(1-I406)</x:f>
        <x:v>144</x:v>
      </x:c>
      <x:c r="N406" s="19" t="n">
        <x:f>(E406-F406)*H406</x:f>
        <x:v>84</x:v>
      </x:c>
      <x:c r="O406" s="19" t="n">
        <x:f>F406*J406</x:f>
        <x:v>0</x:v>
      </x:c>
      <x:c r="P406" s="19" t="n">
        <x:f>M406-N406-O406</x:f>
        <x:v>60</x:v>
      </x:c>
    </x:row>
    <x:row r="407">
      <x:c r="A407" s="15" t="str">
        <x:v>SIM-0403</x:v>
      </x:c>
      <x:c r="B407" s="15" t="str">
        <x:v>2026-02</x:v>
      </x:c>
      <x:c r="C407" s="15" t="str">
        <x:v>Prendas</x:v>
      </x:c>
      <x:c r="D407" s="15" t="str">
        <x:v>Tienda</x:v>
      </x:c>
      <x:c r="E407" s="15" t="n">
        <x:v>1</x:v>
      </x:c>
      <x:c r="F407" s="15" t="n">
        <x:v>0</x:v>
      </x:c>
      <x:c r="G407" s="19" t="n">
        <x:v>60</x:v>
      </x:c>
      <x:c r="H407" s="19" t="n">
        <x:v>24</x:v>
      </x:c>
      <x:c r="I407" s="17" t="n">
        <x:v>0.1</x:v>
      </x:c>
      <x:c r="J407" s="19" t="n">
        <x:v>2</x:v>
      </x:c>
      <x:c r="K407" s="19" t="n">
        <x:f>E407*G407</x:f>
        <x:v>60</x:v>
      </x:c>
      <x:c r="L407" s="19" t="n">
        <x:f>K407*I407</x:f>
        <x:v>6</x:v>
      </x:c>
      <x:c r="M407" s="19" t="n">
        <x:f>(E407-F407)*G407*(1-I407)</x:f>
        <x:v>54</x:v>
      </x:c>
      <x:c r="N407" s="19" t="n">
        <x:f>(E407-F407)*H407</x:f>
        <x:v>24</x:v>
      </x:c>
      <x:c r="O407" s="19" t="n">
        <x:f>F407*J407</x:f>
        <x:v>0</x:v>
      </x:c>
      <x:c r="P407" s="19" t="n">
        <x:f>M407-N407-O407</x:f>
        <x:v>30</x:v>
      </x:c>
    </x:row>
    <x:row r="408">
      <x:c r="A408" s="15" t="str">
        <x:v>SIM-0404</x:v>
      </x:c>
      <x:c r="B408" s="15" t="str">
        <x:v>2026-02</x:v>
      </x:c>
      <x:c r="C408" s="15" t="str">
        <x:v>Prendas</x:v>
      </x:c>
      <x:c r="D408" s="15" t="str">
        <x:v>Online</x:v>
      </x:c>
      <x:c r="E408" s="15" t="n">
        <x:v>2</x:v>
      </x:c>
      <x:c r="F408" s="15" t="n">
        <x:v>0</x:v>
      </x:c>
      <x:c r="G408" s="19" t="n">
        <x:v>60</x:v>
      </x:c>
      <x:c r="H408" s="19" t="n">
        <x:v>24</x:v>
      </x:c>
      <x:c r="I408" s="17" t="n">
        <x:v>0</x:v>
      </x:c>
      <x:c r="J408" s="19" t="n">
        <x:v>6</x:v>
      </x:c>
      <x:c r="K408" s="19" t="n">
        <x:f>E408*G408</x:f>
        <x:v>120</x:v>
      </x:c>
      <x:c r="L408" s="19" t="n">
        <x:f>K408*I408</x:f>
        <x:v>0</x:v>
      </x:c>
      <x:c r="M408" s="19" t="n">
        <x:f>(E408-F408)*G408*(1-I408)</x:f>
        <x:v>120</x:v>
      </x:c>
      <x:c r="N408" s="19" t="n">
        <x:f>(E408-F408)*H408</x:f>
        <x:v>48</x:v>
      </x:c>
      <x:c r="O408" s="19" t="n">
        <x:f>F408*J408</x:f>
        <x:v>0</x:v>
      </x:c>
      <x:c r="P408" s="19" t="n">
        <x:f>M408-N408-O408</x:f>
        <x:v>72</x:v>
      </x:c>
    </x:row>
    <x:row r="409">
      <x:c r="A409" s="15" t="str">
        <x:v>SIM-0405</x:v>
      </x:c>
      <x:c r="B409" s="15" t="str">
        <x:v>2026-02</x:v>
      </x:c>
      <x:c r="C409" s="15" t="str">
        <x:v>Prendas</x:v>
      </x:c>
      <x:c r="D409" s="15" t="str">
        <x:v>Tienda</x:v>
      </x:c>
      <x:c r="E409" s="15" t="n">
        <x:v>1</x:v>
      </x:c>
      <x:c r="F409" s="15" t="n">
        <x:v>0</x:v>
      </x:c>
      <x:c r="G409" s="19" t="n">
        <x:v>60</x:v>
      </x:c>
      <x:c r="H409" s="19" t="n">
        <x:v>24</x:v>
      </x:c>
      <x:c r="I409" s="17" t="n">
        <x:v>0.2</x:v>
      </x:c>
      <x:c r="J409" s="19" t="n">
        <x:v>2</x:v>
      </x:c>
      <x:c r="K409" s="19" t="n">
        <x:f>E409*G409</x:f>
        <x:v>60</x:v>
      </x:c>
      <x:c r="L409" s="19" t="n">
        <x:f>K409*I409</x:f>
        <x:v>12</x:v>
      </x:c>
      <x:c r="M409" s="19" t="n">
        <x:f>(E409-F409)*G409*(1-I409)</x:f>
        <x:v>48</x:v>
      </x:c>
      <x:c r="N409" s="19" t="n">
        <x:f>(E409-F409)*H409</x:f>
        <x:v>24</x:v>
      </x:c>
      <x:c r="O409" s="19" t="n">
        <x:f>F409*J409</x:f>
        <x:v>0</x:v>
      </x:c>
      <x:c r="P409" s="19" t="n">
        <x:f>M409-N409-O409</x:f>
        <x:v>24</x:v>
      </x:c>
    </x:row>
    <x:row r="410">
      <x:c r="A410" s="15" t="str">
        <x:v>SIM-0406</x:v>
      </x:c>
      <x:c r="B410" s="15" t="str">
        <x:v>2026-02</x:v>
      </x:c>
      <x:c r="C410" s="15" t="str">
        <x:v>Accesorios</x:v>
      </x:c>
      <x:c r="D410" s="15" t="str">
        <x:v>Tienda</x:v>
      </x:c>
      <x:c r="E410" s="15" t="n">
        <x:v>2</x:v>
      </x:c>
      <x:c r="F410" s="15" t="n">
        <x:v>0</x:v>
      </x:c>
      <x:c r="G410" s="19" t="n">
        <x:v>30</x:v>
      </x:c>
      <x:c r="H410" s="19" t="n">
        <x:v>9</x:v>
      </x:c>
      <x:c r="I410" s="17" t="n">
        <x:v>0.2</x:v>
      </x:c>
      <x:c r="J410" s="19" t="n">
        <x:v>2</x:v>
      </x:c>
      <x:c r="K410" s="19" t="n">
        <x:f>E410*G410</x:f>
        <x:v>60</x:v>
      </x:c>
      <x:c r="L410" s="19" t="n">
        <x:f>K410*I410</x:f>
        <x:v>12</x:v>
      </x:c>
      <x:c r="M410" s="19" t="n">
        <x:f>(E410-F410)*G410*(1-I410)</x:f>
        <x:v>48</x:v>
      </x:c>
      <x:c r="N410" s="19" t="n">
        <x:f>(E410-F410)*H410</x:f>
        <x:v>18</x:v>
      </x:c>
      <x:c r="O410" s="19" t="n">
        <x:f>F410*J410</x:f>
        <x:v>0</x:v>
      </x:c>
      <x:c r="P410" s="19" t="n">
        <x:f>M410-N410-O410</x:f>
        <x:v>30</x:v>
      </x:c>
    </x:row>
    <x:row r="411">
      <x:c r="A411" s="15" t="str">
        <x:v>SIM-0407</x:v>
      </x:c>
      <x:c r="B411" s="15" t="str">
        <x:v>2026-02</x:v>
      </x:c>
      <x:c r="C411" s="15" t="str">
        <x:v>Accesorios</x:v>
      </x:c>
      <x:c r="D411" s="15" t="str">
        <x:v>Online</x:v>
      </x:c>
      <x:c r="E411" s="15" t="n">
        <x:v>1</x:v>
      </x:c>
      <x:c r="F411" s="15" t="n">
        <x:v>0</x:v>
      </x:c>
      <x:c r="G411" s="19" t="n">
        <x:v>30</x:v>
      </x:c>
      <x:c r="H411" s="19" t="n">
        <x:v>9</x:v>
      </x:c>
      <x:c r="I411" s="17" t="n">
        <x:v>0.3</x:v>
      </x:c>
      <x:c r="J411" s="19" t="n">
        <x:v>6</x:v>
      </x:c>
      <x:c r="K411" s="19" t="n">
        <x:f>E411*G411</x:f>
        <x:v>30</x:v>
      </x:c>
      <x:c r="L411" s="19" t="n">
        <x:f>K411*I411</x:f>
        <x:v>9</x:v>
      </x:c>
      <x:c r="M411" s="19" t="n">
        <x:f>(E411-F411)*G411*(1-I411)</x:f>
        <x:v>21</x:v>
      </x:c>
      <x:c r="N411" s="19" t="n">
        <x:f>(E411-F411)*H411</x:f>
        <x:v>9</x:v>
      </x:c>
      <x:c r="O411" s="19" t="n">
        <x:f>F411*J411</x:f>
        <x:v>0</x:v>
      </x:c>
      <x:c r="P411" s="19" t="n">
        <x:f>M411-N411-O411</x:f>
        <x:v>12</x:v>
      </x:c>
    </x:row>
    <x:row r="412">
      <x:c r="A412" s="15" t="str">
        <x:v>SIM-0408</x:v>
      </x:c>
      <x:c r="B412" s="15" t="str">
        <x:v>2026-02</x:v>
      </x:c>
      <x:c r="C412" s="15" t="str">
        <x:v>Calzado</x:v>
      </x:c>
      <x:c r="D412" s="15" t="str">
        <x:v>Tienda</x:v>
      </x:c>
      <x:c r="E412" s="15" t="n">
        <x:v>1</x:v>
      </x:c>
      <x:c r="F412" s="15" t="n">
        <x:v>0</x:v>
      </x:c>
      <x:c r="G412" s="19" t="n">
        <x:v>90</x:v>
      </x:c>
      <x:c r="H412" s="19" t="n">
        <x:v>42</x:v>
      </x:c>
      <x:c r="I412" s="17" t="n">
        <x:v>0.2</x:v>
      </x:c>
      <x:c r="J412" s="19" t="n">
        <x:v>2</x:v>
      </x:c>
      <x:c r="K412" s="19" t="n">
        <x:f>E412*G412</x:f>
        <x:v>90</x:v>
      </x:c>
      <x:c r="L412" s="19" t="n">
        <x:f>K412*I412</x:f>
        <x:v>18</x:v>
      </x:c>
      <x:c r="M412" s="19" t="n">
        <x:f>(E412-F412)*G412*(1-I412)</x:f>
        <x:v>72</x:v>
      </x:c>
      <x:c r="N412" s="19" t="n">
        <x:f>(E412-F412)*H412</x:f>
        <x:v>42</x:v>
      </x:c>
      <x:c r="O412" s="19" t="n">
        <x:f>F412*J412</x:f>
        <x:v>0</x:v>
      </x:c>
      <x:c r="P412" s="19" t="n">
        <x:f>M412-N412-O412</x:f>
        <x:v>30</x:v>
      </x:c>
    </x:row>
    <x:row r="413">
      <x:c r="A413" s="15" t="str">
        <x:v>SIM-0409</x:v>
      </x:c>
      <x:c r="B413" s="15" t="str">
        <x:v>2026-02</x:v>
      </x:c>
      <x:c r="C413" s="15" t="str">
        <x:v>Calzado</x:v>
      </x:c>
      <x:c r="D413" s="15" t="str">
        <x:v>Tienda</x:v>
      </x:c>
      <x:c r="E413" s="15" t="n">
        <x:v>1</x:v>
      </x:c>
      <x:c r="F413" s="15" t="n">
        <x:v>0</x:v>
      </x:c>
      <x:c r="G413" s="19" t="n">
        <x:v>90</x:v>
      </x:c>
      <x:c r="H413" s="19" t="n">
        <x:v>42</x:v>
      </x:c>
      <x:c r="I413" s="17" t="n">
        <x:v>0</x:v>
      </x:c>
      <x:c r="J413" s="19" t="n">
        <x:v>2</x:v>
      </x:c>
      <x:c r="K413" s="19" t="n">
        <x:f>E413*G413</x:f>
        <x:v>90</x:v>
      </x:c>
      <x:c r="L413" s="19" t="n">
        <x:f>K413*I413</x:f>
        <x:v>0</x:v>
      </x:c>
      <x:c r="M413" s="19" t="n">
        <x:f>(E413-F413)*G413*(1-I413)</x:f>
        <x:v>90</x:v>
      </x:c>
      <x:c r="N413" s="19" t="n">
        <x:f>(E413-F413)*H413</x:f>
        <x:v>42</x:v>
      </x:c>
      <x:c r="O413" s="19" t="n">
        <x:f>F413*J413</x:f>
        <x:v>0</x:v>
      </x:c>
      <x:c r="P413" s="19" t="n">
        <x:f>M413-N413-O413</x:f>
        <x:v>48</x:v>
      </x:c>
    </x:row>
    <x:row r="414">
      <x:c r="A414" s="15" t="str">
        <x:v>SIM-0410</x:v>
      </x:c>
      <x:c r="B414" s="15" t="str">
        <x:v>2026-02</x:v>
      </x:c>
      <x:c r="C414" s="15" t="str">
        <x:v>Prendas</x:v>
      </x:c>
      <x:c r="D414" s="15" t="str">
        <x:v>Online</x:v>
      </x:c>
      <x:c r="E414" s="15" t="n">
        <x:v>1</x:v>
      </x:c>
      <x:c r="F414" s="15" t="n">
        <x:v>0</x:v>
      </x:c>
      <x:c r="G414" s="19" t="n">
        <x:v>60</x:v>
      </x:c>
      <x:c r="H414" s="19" t="n">
        <x:v>24</x:v>
      </x:c>
      <x:c r="I414" s="17" t="n">
        <x:v>0.3</x:v>
      </x:c>
      <x:c r="J414" s="19" t="n">
        <x:v>6</x:v>
      </x:c>
      <x:c r="K414" s="19" t="n">
        <x:f>E414*G414</x:f>
        <x:v>60</x:v>
      </x:c>
      <x:c r="L414" s="19" t="n">
        <x:f>K414*I414</x:f>
        <x:v>18</x:v>
      </x:c>
      <x:c r="M414" s="19" t="n">
        <x:f>(E414-F414)*G414*(1-I414)</x:f>
        <x:v>42</x:v>
      </x:c>
      <x:c r="N414" s="19" t="n">
        <x:f>(E414-F414)*H414</x:f>
        <x:v>24</x:v>
      </x:c>
      <x:c r="O414" s="19" t="n">
        <x:f>F414*J414</x:f>
        <x:v>0</x:v>
      </x:c>
      <x:c r="P414" s="19" t="n">
        <x:f>M414-N414-O414</x:f>
        <x:v>18</x:v>
      </x:c>
    </x:row>
    <x:row r="415">
      <x:c r="A415" s="15" t="str">
        <x:v>SIM-0411</x:v>
      </x:c>
      <x:c r="B415" s="15" t="str">
        <x:v>2026-02</x:v>
      </x:c>
      <x:c r="C415" s="15" t="str">
        <x:v>Calzado</x:v>
      </x:c>
      <x:c r="D415" s="15" t="str">
        <x:v>Tienda</x:v>
      </x:c>
      <x:c r="E415" s="15" t="n">
        <x:v>3</x:v>
      </x:c>
      <x:c r="F415" s="15" t="n">
        <x:v>0</x:v>
      </x:c>
      <x:c r="G415" s="19" t="n">
        <x:v>90</x:v>
      </x:c>
      <x:c r="H415" s="19" t="n">
        <x:v>42</x:v>
      </x:c>
      <x:c r="I415" s="17" t="n">
        <x:v>0.1</x:v>
      </x:c>
      <x:c r="J415" s="19" t="n">
        <x:v>2</x:v>
      </x:c>
      <x:c r="K415" s="19" t="n">
        <x:f>E415*G415</x:f>
        <x:v>270</x:v>
      </x:c>
      <x:c r="L415" s="19" t="n">
        <x:f>K415*I415</x:f>
        <x:v>27</x:v>
      </x:c>
      <x:c r="M415" s="19" t="n">
        <x:f>(E415-F415)*G415*(1-I415)</x:f>
        <x:v>243</x:v>
      </x:c>
      <x:c r="N415" s="19" t="n">
        <x:f>(E415-F415)*H415</x:f>
        <x:v>126</x:v>
      </x:c>
      <x:c r="O415" s="19" t="n">
        <x:f>F415*J415</x:f>
        <x:v>0</x:v>
      </x:c>
      <x:c r="P415" s="19" t="n">
        <x:f>M415-N415-O415</x:f>
        <x:v>117</x:v>
      </x:c>
    </x:row>
    <x:row r="416">
      <x:c r="A416" s="15" t="str">
        <x:v>SIM-0412</x:v>
      </x:c>
      <x:c r="B416" s="15" t="str">
        <x:v>2026-02</x:v>
      </x:c>
      <x:c r="C416" s="15" t="str">
        <x:v>Prendas</x:v>
      </x:c>
      <x:c r="D416" s="15" t="str">
        <x:v>Online</x:v>
      </x:c>
      <x:c r="E416" s="15" t="n">
        <x:v>1</x:v>
      </x:c>
      <x:c r="F416" s="15" t="n">
        <x:v>0</x:v>
      </x:c>
      <x:c r="G416" s="19" t="n">
        <x:v>60</x:v>
      </x:c>
      <x:c r="H416" s="19" t="n">
        <x:v>24</x:v>
      </x:c>
      <x:c r="I416" s="17" t="n">
        <x:v>0</x:v>
      </x:c>
      <x:c r="J416" s="19" t="n">
        <x:v>6</x:v>
      </x:c>
      <x:c r="K416" s="19" t="n">
        <x:f>E416*G416</x:f>
        <x:v>60</x:v>
      </x:c>
      <x:c r="L416" s="19" t="n">
        <x:f>K416*I416</x:f>
        <x:v>0</x:v>
      </x:c>
      <x:c r="M416" s="19" t="n">
        <x:f>(E416-F416)*G416*(1-I416)</x:f>
        <x:v>60</x:v>
      </x:c>
      <x:c r="N416" s="19" t="n">
        <x:f>(E416-F416)*H416</x:f>
        <x:v>24</x:v>
      </x:c>
      <x:c r="O416" s="19" t="n">
        <x:f>F416*J416</x:f>
        <x:v>0</x:v>
      </x:c>
      <x:c r="P416" s="19" t="n">
        <x:f>M416-N416-O416</x:f>
        <x:v>36</x:v>
      </x:c>
    </x:row>
    <x:row r="417">
      <x:c r="A417" s="15" t="str">
        <x:v>SIM-0413</x:v>
      </x:c>
      <x:c r="B417" s="15" t="str">
        <x:v>2026-02</x:v>
      </x:c>
      <x:c r="C417" s="15" t="str">
        <x:v>Prendas</x:v>
      </x:c>
      <x:c r="D417" s="15" t="str">
        <x:v>Tienda</x:v>
      </x:c>
      <x:c r="E417" s="15" t="n">
        <x:v>3</x:v>
      </x:c>
      <x:c r="F417" s="15" t="n">
        <x:v>0</x:v>
      </x:c>
      <x:c r="G417" s="19" t="n">
        <x:v>60</x:v>
      </x:c>
      <x:c r="H417" s="19" t="n">
        <x:v>24</x:v>
      </x:c>
      <x:c r="I417" s="17" t="n">
        <x:v>0.2</x:v>
      </x:c>
      <x:c r="J417" s="19" t="n">
        <x:v>2</x:v>
      </x:c>
      <x:c r="K417" s="19" t="n">
        <x:f>E417*G417</x:f>
        <x:v>180</x:v>
      </x:c>
      <x:c r="L417" s="19" t="n">
        <x:f>K417*I417</x:f>
        <x:v>36</x:v>
      </x:c>
      <x:c r="M417" s="19" t="n">
        <x:f>(E417-F417)*G417*(1-I417)</x:f>
        <x:v>144</x:v>
      </x:c>
      <x:c r="N417" s="19" t="n">
        <x:f>(E417-F417)*H417</x:f>
        <x:v>72</x:v>
      </x:c>
      <x:c r="O417" s="19" t="n">
        <x:f>F417*J417</x:f>
        <x:v>0</x:v>
      </x:c>
      <x:c r="P417" s="19" t="n">
        <x:f>M417-N417-O417</x:f>
        <x:v>72</x:v>
      </x:c>
    </x:row>
    <x:row r="418">
      <x:c r="A418" s="15" t="str">
        <x:v>SIM-0414</x:v>
      </x:c>
      <x:c r="B418" s="15" t="str">
        <x:v>2026-02</x:v>
      </x:c>
      <x:c r="C418" s="15" t="str">
        <x:v>Prendas</x:v>
      </x:c>
      <x:c r="D418" s="15" t="str">
        <x:v>Online</x:v>
      </x:c>
      <x:c r="E418" s="15" t="n">
        <x:v>1</x:v>
      </x:c>
      <x:c r="F418" s="15" t="n">
        <x:v>0</x:v>
      </x:c>
      <x:c r="G418" s="19" t="n">
        <x:v>60</x:v>
      </x:c>
      <x:c r="H418" s="19" t="n">
        <x:v>24</x:v>
      </x:c>
      <x:c r="I418" s="17" t="n">
        <x:v>0.3</x:v>
      </x:c>
      <x:c r="J418" s="19" t="n">
        <x:v>6</x:v>
      </x:c>
      <x:c r="K418" s="19" t="n">
        <x:f>E418*G418</x:f>
        <x:v>60</x:v>
      </x:c>
      <x:c r="L418" s="19" t="n">
        <x:f>K418*I418</x:f>
        <x:v>18</x:v>
      </x:c>
      <x:c r="M418" s="19" t="n">
        <x:f>(E418-F418)*G418*(1-I418)</x:f>
        <x:v>42</x:v>
      </x:c>
      <x:c r="N418" s="19" t="n">
        <x:f>(E418-F418)*H418</x:f>
        <x:v>24</x:v>
      </x:c>
      <x:c r="O418" s="19" t="n">
        <x:f>F418*J418</x:f>
        <x:v>0</x:v>
      </x:c>
      <x:c r="P418" s="19" t="n">
        <x:f>M418-N418-O418</x:f>
        <x:v>18</x:v>
      </x:c>
    </x:row>
    <x:row r="419">
      <x:c r="A419" s="15" t="str">
        <x:v>SIM-0415</x:v>
      </x:c>
      <x:c r="B419" s="15" t="str">
        <x:v>2026-02</x:v>
      </x:c>
      <x:c r="C419" s="15" t="str">
        <x:v>Calzado</x:v>
      </x:c>
      <x:c r="D419" s="15" t="str">
        <x:v>Tienda</x:v>
      </x:c>
      <x:c r="E419" s="15" t="n">
        <x:v>1</x:v>
      </x:c>
      <x:c r="F419" s="15" t="n">
        <x:v>0</x:v>
      </x:c>
      <x:c r="G419" s="19" t="n">
        <x:v>90</x:v>
      </x:c>
      <x:c r="H419" s="19" t="n">
        <x:v>42</x:v>
      </x:c>
      <x:c r="I419" s="17" t="n">
        <x:v>0.1</x:v>
      </x:c>
      <x:c r="J419" s="19" t="n">
        <x:v>2</x:v>
      </x:c>
      <x:c r="K419" s="19" t="n">
        <x:f>E419*G419</x:f>
        <x:v>90</x:v>
      </x:c>
      <x:c r="L419" s="19" t="n">
        <x:f>K419*I419</x:f>
        <x:v>9</x:v>
      </x:c>
      <x:c r="M419" s="19" t="n">
        <x:f>(E419-F419)*G419*(1-I419)</x:f>
        <x:v>81</x:v>
      </x:c>
      <x:c r="N419" s="19" t="n">
        <x:f>(E419-F419)*H419</x:f>
        <x:v>42</x:v>
      </x:c>
      <x:c r="O419" s="19" t="n">
        <x:f>F419*J419</x:f>
        <x:v>0</x:v>
      </x:c>
      <x:c r="P419" s="19" t="n">
        <x:f>M419-N419-O419</x:f>
        <x:v>39</x:v>
      </x:c>
    </x:row>
    <x:row r="420">
      <x:c r="A420" s="15" t="str">
        <x:v>SIM-0416</x:v>
      </x:c>
      <x:c r="B420" s="15" t="str">
        <x:v>2026-02</x:v>
      </x:c>
      <x:c r="C420" s="15" t="str">
        <x:v>Prendas</x:v>
      </x:c>
      <x:c r="D420" s="15" t="str">
        <x:v>Online</x:v>
      </x:c>
      <x:c r="E420" s="15" t="n">
        <x:v>3</x:v>
      </x:c>
      <x:c r="F420" s="15" t="n">
        <x:v>0</x:v>
      </x:c>
      <x:c r="G420" s="19" t="n">
        <x:v>60</x:v>
      </x:c>
      <x:c r="H420" s="19" t="n">
        <x:v>24</x:v>
      </x:c>
      <x:c r="I420" s="17" t="n">
        <x:v>0.2</x:v>
      </x:c>
      <x:c r="J420" s="19" t="n">
        <x:v>6</x:v>
      </x:c>
      <x:c r="K420" s="19" t="n">
        <x:f>E420*G420</x:f>
        <x:v>180</x:v>
      </x:c>
      <x:c r="L420" s="19" t="n">
        <x:f>K420*I420</x:f>
        <x:v>36</x:v>
      </x:c>
      <x:c r="M420" s="19" t="n">
        <x:f>(E420-F420)*G420*(1-I420)</x:f>
        <x:v>144</x:v>
      </x:c>
      <x:c r="N420" s="19" t="n">
        <x:f>(E420-F420)*H420</x:f>
        <x:v>72</x:v>
      </x:c>
      <x:c r="O420" s="19" t="n">
        <x:f>F420*J420</x:f>
        <x:v>0</x:v>
      </x:c>
      <x:c r="P420" s="19" t="n">
        <x:f>M420-N420-O420</x:f>
        <x:v>72</x:v>
      </x:c>
    </x:row>
    <x:row r="421">
      <x:c r="A421" s="15" t="str">
        <x:v>SIM-0417</x:v>
      </x:c>
      <x:c r="B421" s="15" t="str">
        <x:v>2026-02</x:v>
      </x:c>
      <x:c r="C421" s="15" t="str">
        <x:v>Prendas</x:v>
      </x:c>
      <x:c r="D421" s="15" t="str">
        <x:v>Tienda</x:v>
      </x:c>
      <x:c r="E421" s="15" t="n">
        <x:v>2</x:v>
      </x:c>
      <x:c r="F421" s="15" t="n">
        <x:v>0</x:v>
      </x:c>
      <x:c r="G421" s="19" t="n">
        <x:v>60</x:v>
      </x:c>
      <x:c r="H421" s="19" t="n">
        <x:v>24</x:v>
      </x:c>
      <x:c r="I421" s="17" t="n">
        <x:v>0.1</x:v>
      </x:c>
      <x:c r="J421" s="19" t="n">
        <x:v>2</x:v>
      </x:c>
      <x:c r="K421" s="19" t="n">
        <x:f>E421*G421</x:f>
        <x:v>120</x:v>
      </x:c>
      <x:c r="L421" s="19" t="n">
        <x:f>K421*I421</x:f>
        <x:v>12</x:v>
      </x:c>
      <x:c r="M421" s="19" t="n">
        <x:f>(E421-F421)*G421*(1-I421)</x:f>
        <x:v>108</x:v>
      </x:c>
      <x:c r="N421" s="19" t="n">
        <x:f>(E421-F421)*H421</x:f>
        <x:v>48</x:v>
      </x:c>
      <x:c r="O421" s="19" t="n">
        <x:f>F421*J421</x:f>
        <x:v>0</x:v>
      </x:c>
      <x:c r="P421" s="19" t="n">
        <x:f>M421-N421-O421</x:f>
        <x:v>60</x:v>
      </x:c>
    </x:row>
    <x:row r="422">
      <x:c r="A422" s="15" t="str">
        <x:v>SIM-0418</x:v>
      </x:c>
      <x:c r="B422" s="15" t="str">
        <x:v>2026-02</x:v>
      </x:c>
      <x:c r="C422" s="15" t="str">
        <x:v>Accesorios</x:v>
      </x:c>
      <x:c r="D422" s="15" t="str">
        <x:v>Online</x:v>
      </x:c>
      <x:c r="E422" s="15" t="n">
        <x:v>1</x:v>
      </x:c>
      <x:c r="F422" s="15" t="n">
        <x:v>0</x:v>
      </x:c>
      <x:c r="G422" s="19" t="n">
        <x:v>30</x:v>
      </x:c>
      <x:c r="H422" s="19" t="n">
        <x:v>9</x:v>
      </x:c>
      <x:c r="I422" s="17" t="n">
        <x:v>0.3</x:v>
      </x:c>
      <x:c r="J422" s="19" t="n">
        <x:v>6</x:v>
      </x:c>
      <x:c r="K422" s="19" t="n">
        <x:f>E422*G422</x:f>
        <x:v>30</x:v>
      </x:c>
      <x:c r="L422" s="19" t="n">
        <x:f>K422*I422</x:f>
        <x:v>9</x:v>
      </x:c>
      <x:c r="M422" s="19" t="n">
        <x:f>(E422-F422)*G422*(1-I422)</x:f>
        <x:v>21</x:v>
      </x:c>
      <x:c r="N422" s="19" t="n">
        <x:f>(E422-F422)*H422</x:f>
        <x:v>9</x:v>
      </x:c>
      <x:c r="O422" s="19" t="n">
        <x:f>F422*J422</x:f>
        <x:v>0</x:v>
      </x:c>
      <x:c r="P422" s="19" t="n">
        <x:f>M422-N422-O422</x:f>
        <x:v>12</x:v>
      </x:c>
    </x:row>
    <x:row r="423">
      <x:c r="A423" s="15" t="str">
        <x:v>SIM-0419</x:v>
      </x:c>
      <x:c r="B423" s="15" t="str">
        <x:v>2026-02</x:v>
      </x:c>
      <x:c r="C423" s="15" t="str">
        <x:v>Calzado</x:v>
      </x:c>
      <x:c r="D423" s="15" t="str">
        <x:v>Tienda</x:v>
      </x:c>
      <x:c r="E423" s="15" t="n">
        <x:v>1</x:v>
      </x:c>
      <x:c r="F423" s="15" t="n">
        <x:v>0</x:v>
      </x:c>
      <x:c r="G423" s="19" t="n">
        <x:v>90</x:v>
      </x:c>
      <x:c r="H423" s="19" t="n">
        <x:v>42</x:v>
      </x:c>
      <x:c r="I423" s="17" t="n">
        <x:v>0</x:v>
      </x:c>
      <x:c r="J423" s="19" t="n">
        <x:v>2</x:v>
      </x:c>
      <x:c r="K423" s="19" t="n">
        <x:f>E423*G423</x:f>
        <x:v>90</x:v>
      </x:c>
      <x:c r="L423" s="19" t="n">
        <x:f>K423*I423</x:f>
        <x:v>0</x:v>
      </x:c>
      <x:c r="M423" s="19" t="n">
        <x:f>(E423-F423)*G423*(1-I423)</x:f>
        <x:v>90</x:v>
      </x:c>
      <x:c r="N423" s="19" t="n">
        <x:f>(E423-F423)*H423</x:f>
        <x:v>42</x:v>
      </x:c>
      <x:c r="O423" s="19" t="n">
        <x:f>F423*J423</x:f>
        <x:v>0</x:v>
      </x:c>
      <x:c r="P423" s="19" t="n">
        <x:f>M423-N423-O423</x:f>
        <x:v>48</x:v>
      </x:c>
    </x:row>
    <x:row r="424">
      <x:c r="A424" s="15" t="str">
        <x:v>SIM-0420</x:v>
      </x:c>
      <x:c r="B424" s="15" t="str">
        <x:v>2026-02</x:v>
      </x:c>
      <x:c r="C424" s="15" t="str">
        <x:v>Prendas</x:v>
      </x:c>
      <x:c r="D424" s="15" t="str">
        <x:v>Tienda</x:v>
      </x:c>
      <x:c r="E424" s="15" t="n">
        <x:v>1</x:v>
      </x:c>
      <x:c r="F424" s="15" t="n">
        <x:v>0</x:v>
      </x:c>
      <x:c r="G424" s="19" t="n">
        <x:v>60</x:v>
      </x:c>
      <x:c r="H424" s="19" t="n">
        <x:v>24</x:v>
      </x:c>
      <x:c r="I424" s="17" t="n">
        <x:v>0.3</x:v>
      </x:c>
      <x:c r="J424" s="19" t="n">
        <x:v>2</x:v>
      </x:c>
      <x:c r="K424" s="19" t="n">
        <x:f>E424*G424</x:f>
        <x:v>60</x:v>
      </x:c>
      <x:c r="L424" s="19" t="n">
        <x:f>K424*I424</x:f>
        <x:v>18</x:v>
      </x:c>
      <x:c r="M424" s="19" t="n">
        <x:f>(E424-F424)*G424*(1-I424)</x:f>
        <x:v>42</x:v>
      </x:c>
      <x:c r="N424" s="19" t="n">
        <x:f>(E424-F424)*H424</x:f>
        <x:v>24</x:v>
      </x:c>
      <x:c r="O424" s="19" t="n">
        <x:f>F424*J424</x:f>
        <x:v>0</x:v>
      </x:c>
      <x:c r="P424" s="19" t="n">
        <x:f>M424-N424-O424</x:f>
        <x:v>18</x:v>
      </x:c>
    </x:row>
    <x:row r="425">
      <x:c r="A425" s="15" t="str">
        <x:v>SIM-0421</x:v>
      </x:c>
      <x:c r="B425" s="15" t="str">
        <x:v>2026-03</x:v>
      </x:c>
      <x:c r="C425" s="15" t="str">
        <x:v>Accesorios</x:v>
      </x:c>
      <x:c r="D425" s="15" t="str">
        <x:v>Tienda</x:v>
      </x:c>
      <x:c r="E425" s="15" t="n">
        <x:v>1</x:v>
      </x:c>
      <x:c r="F425" s="15" t="n">
        <x:v>0</x:v>
      </x:c>
      <x:c r="G425" s="19" t="n">
        <x:v>30</x:v>
      </x:c>
      <x:c r="H425" s="19" t="n">
        <x:v>9</x:v>
      </x:c>
      <x:c r="I425" s="17" t="n">
        <x:v>0.1</x:v>
      </x:c>
      <x:c r="J425" s="19" t="n">
        <x:v>2</x:v>
      </x:c>
      <x:c r="K425" s="19" t="n">
        <x:f>E425*G425</x:f>
        <x:v>30</x:v>
      </x:c>
      <x:c r="L425" s="19" t="n">
        <x:f>K425*I425</x:f>
        <x:v>3</x:v>
      </x:c>
      <x:c r="M425" s="19" t="n">
        <x:f>(E425-F425)*G425*(1-I425)</x:f>
        <x:v>27</x:v>
      </x:c>
      <x:c r="N425" s="19" t="n">
        <x:f>(E425-F425)*H425</x:f>
        <x:v>9</x:v>
      </x:c>
      <x:c r="O425" s="19" t="n">
        <x:f>F425*J425</x:f>
        <x:v>0</x:v>
      </x:c>
      <x:c r="P425" s="19" t="n">
        <x:f>M425-N425-O425</x:f>
        <x:v>18</x:v>
      </x:c>
    </x:row>
    <x:row r="426">
      <x:c r="A426" s="15" t="str">
        <x:v>SIM-0422</x:v>
      </x:c>
      <x:c r="B426" s="15" t="str">
        <x:v>2026-03</x:v>
      </x:c>
      <x:c r="C426" s="15" t="str">
        <x:v>Calzado</x:v>
      </x:c>
      <x:c r="D426" s="15" t="str">
        <x:v>Tienda</x:v>
      </x:c>
      <x:c r="E426" s="15" t="n">
        <x:v>2</x:v>
      </x:c>
      <x:c r="F426" s="15" t="n">
        <x:v>0</x:v>
      </x:c>
      <x:c r="G426" s="19" t="n">
        <x:v>90</x:v>
      </x:c>
      <x:c r="H426" s="19" t="n">
        <x:v>42</x:v>
      </x:c>
      <x:c r="I426" s="17" t="n">
        <x:v>0</x:v>
      </x:c>
      <x:c r="J426" s="19" t="n">
        <x:v>2</x:v>
      </x:c>
      <x:c r="K426" s="19" t="n">
        <x:f>E426*G426</x:f>
        <x:v>180</x:v>
      </x:c>
      <x:c r="L426" s="19" t="n">
        <x:f>K426*I426</x:f>
        <x:v>0</x:v>
      </x:c>
      <x:c r="M426" s="19" t="n">
        <x:f>(E426-F426)*G426*(1-I426)</x:f>
        <x:v>180</x:v>
      </x:c>
      <x:c r="N426" s="19" t="n">
        <x:f>(E426-F426)*H426</x:f>
        <x:v>84</x:v>
      </x:c>
      <x:c r="O426" s="19" t="n">
        <x:f>F426*J426</x:f>
        <x:v>0</x:v>
      </x:c>
      <x:c r="P426" s="19" t="n">
        <x:f>M426-N426-O426</x:f>
        <x:v>96</x:v>
      </x:c>
    </x:row>
    <x:row r="427">
      <x:c r="A427" s="15" t="str">
        <x:v>SIM-0423</x:v>
      </x:c>
      <x:c r="B427" s="15" t="str">
        <x:v>2026-03</x:v>
      </x:c>
      <x:c r="C427" s="15" t="str">
        <x:v>Accesorios</x:v>
      </x:c>
      <x:c r="D427" s="15" t="str">
        <x:v>Tienda</x:v>
      </x:c>
      <x:c r="E427" s="15" t="n">
        <x:v>1</x:v>
      </x:c>
      <x:c r="F427" s="15" t="n">
        <x:v>0</x:v>
      </x:c>
      <x:c r="G427" s="19" t="n">
        <x:v>30</x:v>
      </x:c>
      <x:c r="H427" s="19" t="n">
        <x:v>9</x:v>
      </x:c>
      <x:c r="I427" s="17" t="n">
        <x:v>0.2</x:v>
      </x:c>
      <x:c r="J427" s="19" t="n">
        <x:v>2</x:v>
      </x:c>
      <x:c r="K427" s="19" t="n">
        <x:f>E427*G427</x:f>
        <x:v>30</x:v>
      </x:c>
      <x:c r="L427" s="19" t="n">
        <x:f>K427*I427</x:f>
        <x:v>6</x:v>
      </x:c>
      <x:c r="M427" s="19" t="n">
        <x:f>(E427-F427)*G427*(1-I427)</x:f>
        <x:v>24</x:v>
      </x:c>
      <x:c r="N427" s="19" t="n">
        <x:f>(E427-F427)*H427</x:f>
        <x:v>9</x:v>
      </x:c>
      <x:c r="O427" s="19" t="n">
        <x:f>F427*J427</x:f>
        <x:v>0</x:v>
      </x:c>
      <x:c r="P427" s="19" t="n">
        <x:f>M427-N427-O427</x:f>
        <x:v>15</x:v>
      </x:c>
    </x:row>
    <x:row r="428">
      <x:c r="A428" s="15" t="str">
        <x:v>SIM-0424</x:v>
      </x:c>
      <x:c r="B428" s="15" t="str">
        <x:v>2026-03</x:v>
      </x:c>
      <x:c r="C428" s="15" t="str">
        <x:v>Prendas</x:v>
      </x:c>
      <x:c r="D428" s="15" t="str">
        <x:v>Tienda</x:v>
      </x:c>
      <x:c r="E428" s="15" t="n">
        <x:v>1</x:v>
      </x:c>
      <x:c r="F428" s="15" t="n">
        <x:v>0</x:v>
      </x:c>
      <x:c r="G428" s="19" t="n">
        <x:v>60</x:v>
      </x:c>
      <x:c r="H428" s="19" t="n">
        <x:v>24</x:v>
      </x:c>
      <x:c r="I428" s="17" t="n">
        <x:v>0</x:v>
      </x:c>
      <x:c r="J428" s="19" t="n">
        <x:v>2</x:v>
      </x:c>
      <x:c r="K428" s="19" t="n">
        <x:f>E428*G428</x:f>
        <x:v>60</x:v>
      </x:c>
      <x:c r="L428" s="19" t="n">
        <x:f>K428*I428</x:f>
        <x:v>0</x:v>
      </x:c>
      <x:c r="M428" s="19" t="n">
        <x:f>(E428-F428)*G428*(1-I428)</x:f>
        <x:v>60</x:v>
      </x:c>
      <x:c r="N428" s="19" t="n">
        <x:f>(E428-F428)*H428</x:f>
        <x:v>24</x:v>
      </x:c>
      <x:c r="O428" s="19" t="n">
        <x:f>F428*J428</x:f>
        <x:v>0</x:v>
      </x:c>
      <x:c r="P428" s="19" t="n">
        <x:f>M428-N428-O428</x:f>
        <x:v>36</x:v>
      </x:c>
    </x:row>
    <x:row r="429">
      <x:c r="A429" s="15" t="str">
        <x:v>SIM-0425</x:v>
      </x:c>
      <x:c r="B429" s="15" t="str">
        <x:v>2026-03</x:v>
      </x:c>
      <x:c r="C429" s="15" t="str">
        <x:v>Calzado</x:v>
      </x:c>
      <x:c r="D429" s="15" t="str">
        <x:v>Online</x:v>
      </x:c>
      <x:c r="E429" s="15" t="n">
        <x:v>1</x:v>
      </x:c>
      <x:c r="F429" s="15" t="n">
        <x:v>1</x:v>
      </x:c>
      <x:c r="G429" s="19" t="n">
        <x:v>90</x:v>
      </x:c>
      <x:c r="H429" s="19" t="n">
        <x:v>42</x:v>
      </x:c>
      <x:c r="I429" s="17" t="n">
        <x:v>0.1</x:v>
      </x:c>
      <x:c r="J429" s="19" t="n">
        <x:v>6</x:v>
      </x:c>
      <x:c r="K429" s="19" t="n">
        <x:f>E429*G429</x:f>
        <x:v>90</x:v>
      </x:c>
      <x:c r="L429" s="19" t="n">
        <x:f>K429*I429</x:f>
        <x:v>9</x:v>
      </x:c>
      <x:c r="M429" s="19" t="n">
        <x:f>(E429-F429)*G429*(1-I429)</x:f>
        <x:v>0</x:v>
      </x:c>
      <x:c r="N429" s="19" t="n">
        <x:f>(E429-F429)*H429</x:f>
        <x:v>0</x:v>
      </x:c>
      <x:c r="O429" s="19" t="n">
        <x:f>F429*J429</x:f>
        <x:v>6</x:v>
      </x:c>
      <x:c r="P429" s="19" t="n">
        <x:f>M429-N429-O429</x:f>
        <x:v>-6</x:v>
      </x:c>
    </x:row>
    <x:row r="430">
      <x:c r="A430" s="15" t="str">
        <x:v>SIM-0426</x:v>
      </x:c>
      <x:c r="B430" s="15" t="str">
        <x:v>2026-03</x:v>
      </x:c>
      <x:c r="C430" s="15" t="str">
        <x:v>Calzado</x:v>
      </x:c>
      <x:c r="D430" s="15" t="str">
        <x:v>Online</x:v>
      </x:c>
      <x:c r="E430" s="15" t="n">
        <x:v>1</x:v>
      </x:c>
      <x:c r="F430" s="15" t="n">
        <x:v>0</x:v>
      </x:c>
      <x:c r="G430" s="19" t="n">
        <x:v>90</x:v>
      </x:c>
      <x:c r="H430" s="19" t="n">
        <x:v>42</x:v>
      </x:c>
      <x:c r="I430" s="17" t="n">
        <x:v>0.2</x:v>
      </x:c>
      <x:c r="J430" s="19" t="n">
        <x:v>6</x:v>
      </x:c>
      <x:c r="K430" s="19" t="n">
        <x:f>E430*G430</x:f>
        <x:v>90</x:v>
      </x:c>
      <x:c r="L430" s="19" t="n">
        <x:f>K430*I430</x:f>
        <x:v>18</x:v>
      </x:c>
      <x:c r="M430" s="19" t="n">
        <x:f>(E430-F430)*G430*(1-I430)</x:f>
        <x:v>72</x:v>
      </x:c>
      <x:c r="N430" s="19" t="n">
        <x:f>(E430-F430)*H430</x:f>
        <x:v>42</x:v>
      </x:c>
      <x:c r="O430" s="19" t="n">
        <x:f>F430*J430</x:f>
        <x:v>0</x:v>
      </x:c>
      <x:c r="P430" s="19" t="n">
        <x:f>M430-N430-O430</x:f>
        <x:v>30</x:v>
      </x:c>
    </x:row>
    <x:row r="431">
      <x:c r="A431" s="15" t="str">
        <x:v>SIM-0427</x:v>
      </x:c>
      <x:c r="B431" s="15" t="str">
        <x:v>2026-03</x:v>
      </x:c>
      <x:c r="C431" s="15" t="str">
        <x:v>Prendas</x:v>
      </x:c>
      <x:c r="D431" s="15" t="str">
        <x:v>Tienda</x:v>
      </x:c>
      <x:c r="E431" s="15" t="n">
        <x:v>1</x:v>
      </x:c>
      <x:c r="F431" s="15" t="n">
        <x:v>0</x:v>
      </x:c>
      <x:c r="G431" s="19" t="n">
        <x:v>60</x:v>
      </x:c>
      <x:c r="H431" s="19" t="n">
        <x:v>24</x:v>
      </x:c>
      <x:c r="I431" s="17" t="n">
        <x:v>0.1</x:v>
      </x:c>
      <x:c r="J431" s="19" t="n">
        <x:v>2</x:v>
      </x:c>
      <x:c r="K431" s="19" t="n">
        <x:f>E431*G431</x:f>
        <x:v>60</x:v>
      </x:c>
      <x:c r="L431" s="19" t="n">
        <x:f>K431*I431</x:f>
        <x:v>6</x:v>
      </x:c>
      <x:c r="M431" s="19" t="n">
        <x:f>(E431-F431)*G431*(1-I431)</x:f>
        <x:v>54</x:v>
      </x:c>
      <x:c r="N431" s="19" t="n">
        <x:f>(E431-F431)*H431</x:f>
        <x:v>24</x:v>
      </x:c>
      <x:c r="O431" s="19" t="n">
        <x:f>F431*J431</x:f>
        <x:v>0</x:v>
      </x:c>
      <x:c r="P431" s="19" t="n">
        <x:f>M431-N431-O431</x:f>
        <x:v>30</x:v>
      </x:c>
    </x:row>
    <x:row r="432">
      <x:c r="A432" s="15" t="str">
        <x:v>SIM-0428</x:v>
      </x:c>
      <x:c r="B432" s="15" t="str">
        <x:v>2026-03</x:v>
      </x:c>
      <x:c r="C432" s="15" t="str">
        <x:v>Calzado</x:v>
      </x:c>
      <x:c r="D432" s="15" t="str">
        <x:v>Tienda</x:v>
      </x:c>
      <x:c r="E432" s="15" t="n">
        <x:v>1</x:v>
      </x:c>
      <x:c r="F432" s="15" t="n">
        <x:v>0</x:v>
      </x:c>
      <x:c r="G432" s="19" t="n">
        <x:v>90</x:v>
      </x:c>
      <x:c r="H432" s="19" t="n">
        <x:v>42</x:v>
      </x:c>
      <x:c r="I432" s="17" t="n">
        <x:v>0.1</x:v>
      </x:c>
      <x:c r="J432" s="19" t="n">
        <x:v>2</x:v>
      </x:c>
      <x:c r="K432" s="19" t="n">
        <x:f>E432*G432</x:f>
        <x:v>90</x:v>
      </x:c>
      <x:c r="L432" s="19" t="n">
        <x:f>K432*I432</x:f>
        <x:v>9</x:v>
      </x:c>
      <x:c r="M432" s="19" t="n">
        <x:f>(E432-F432)*G432*(1-I432)</x:f>
        <x:v>81</x:v>
      </x:c>
      <x:c r="N432" s="19" t="n">
        <x:f>(E432-F432)*H432</x:f>
        <x:v>42</x:v>
      </x:c>
      <x:c r="O432" s="19" t="n">
        <x:f>F432*J432</x:f>
        <x:v>0</x:v>
      </x:c>
      <x:c r="P432" s="19" t="n">
        <x:f>M432-N432-O432</x:f>
        <x:v>39</x:v>
      </x:c>
    </x:row>
    <x:row r="433">
      <x:c r="A433" s="15" t="str">
        <x:v>SIM-0429</x:v>
      </x:c>
      <x:c r="B433" s="15" t="str">
        <x:v>2026-03</x:v>
      </x:c>
      <x:c r="C433" s="15" t="str">
        <x:v>Prendas</x:v>
      </x:c>
      <x:c r="D433" s="15" t="str">
        <x:v>Online</x:v>
      </x:c>
      <x:c r="E433" s="15" t="n">
        <x:v>2</x:v>
      </x:c>
      <x:c r="F433" s="15" t="n">
        <x:v>0</x:v>
      </x:c>
      <x:c r="G433" s="19" t="n">
        <x:v>60</x:v>
      </x:c>
      <x:c r="H433" s="19" t="n">
        <x:v>24</x:v>
      </x:c>
      <x:c r="I433" s="17" t="n">
        <x:v>0.3</x:v>
      </x:c>
      <x:c r="J433" s="19" t="n">
        <x:v>6</x:v>
      </x:c>
      <x:c r="K433" s="19" t="n">
        <x:f>E433*G433</x:f>
        <x:v>120</x:v>
      </x:c>
      <x:c r="L433" s="19" t="n">
        <x:f>K433*I433</x:f>
        <x:v>36</x:v>
      </x:c>
      <x:c r="M433" s="19" t="n">
        <x:f>(E433-F433)*G433*(1-I433)</x:f>
        <x:v>84</x:v>
      </x:c>
      <x:c r="N433" s="19" t="n">
        <x:f>(E433-F433)*H433</x:f>
        <x:v>48</x:v>
      </x:c>
      <x:c r="O433" s="19" t="n">
        <x:f>F433*J433</x:f>
        <x:v>0</x:v>
      </x:c>
      <x:c r="P433" s="19" t="n">
        <x:f>M433-N433-O433</x:f>
        <x:v>36</x:v>
      </x:c>
    </x:row>
    <x:row r="434">
      <x:c r="A434" s="15" t="str">
        <x:v>SIM-0430</x:v>
      </x:c>
      <x:c r="B434" s="15" t="str">
        <x:v>2026-03</x:v>
      </x:c>
      <x:c r="C434" s="15" t="str">
        <x:v>Prendas</x:v>
      </x:c>
      <x:c r="D434" s="15" t="str">
        <x:v>Tienda</x:v>
      </x:c>
      <x:c r="E434" s="15" t="n">
        <x:v>1</x:v>
      </x:c>
      <x:c r="F434" s="15" t="n">
        <x:v>0</x:v>
      </x:c>
      <x:c r="G434" s="19" t="n">
        <x:v>60</x:v>
      </x:c>
      <x:c r="H434" s="19" t="n">
        <x:v>24</x:v>
      </x:c>
      <x:c r="I434" s="17" t="n">
        <x:v>0.2</x:v>
      </x:c>
      <x:c r="J434" s="19" t="n">
        <x:v>2</x:v>
      </x:c>
      <x:c r="K434" s="19" t="n">
        <x:f>E434*G434</x:f>
        <x:v>60</x:v>
      </x:c>
      <x:c r="L434" s="19" t="n">
        <x:f>K434*I434</x:f>
        <x:v>12</x:v>
      </x:c>
      <x:c r="M434" s="19" t="n">
        <x:f>(E434-F434)*G434*(1-I434)</x:f>
        <x:v>48</x:v>
      </x:c>
      <x:c r="N434" s="19" t="n">
        <x:f>(E434-F434)*H434</x:f>
        <x:v>24</x:v>
      </x:c>
      <x:c r="O434" s="19" t="n">
        <x:f>F434*J434</x:f>
        <x:v>0</x:v>
      </x:c>
      <x:c r="P434" s="19" t="n">
        <x:f>M434-N434-O434</x:f>
        <x:v>24</x:v>
      </x:c>
    </x:row>
    <x:row r="435">
      <x:c r="A435" s="15" t="str">
        <x:v>SIM-0431</x:v>
      </x:c>
      <x:c r="B435" s="15" t="str">
        <x:v>2026-03</x:v>
      </x:c>
      <x:c r="C435" s="15" t="str">
        <x:v>Prendas</x:v>
      </x:c>
      <x:c r="D435" s="15" t="str">
        <x:v>Tienda</x:v>
      </x:c>
      <x:c r="E435" s="15" t="n">
        <x:v>1</x:v>
      </x:c>
      <x:c r="F435" s="15" t="n">
        <x:v>0</x:v>
      </x:c>
      <x:c r="G435" s="19" t="n">
        <x:v>60</x:v>
      </x:c>
      <x:c r="H435" s="19" t="n">
        <x:v>24</x:v>
      </x:c>
      <x:c r="I435" s="17" t="n">
        <x:v>0.2</x:v>
      </x:c>
      <x:c r="J435" s="19" t="n">
        <x:v>2</x:v>
      </x:c>
      <x:c r="K435" s="19" t="n">
        <x:f>E435*G435</x:f>
        <x:v>60</x:v>
      </x:c>
      <x:c r="L435" s="19" t="n">
        <x:f>K435*I435</x:f>
        <x:v>12</x:v>
      </x:c>
      <x:c r="M435" s="19" t="n">
        <x:f>(E435-F435)*G435*(1-I435)</x:f>
        <x:v>48</x:v>
      </x:c>
      <x:c r="N435" s="19" t="n">
        <x:f>(E435-F435)*H435</x:f>
        <x:v>24</x:v>
      </x:c>
      <x:c r="O435" s="19" t="n">
        <x:f>F435*J435</x:f>
        <x:v>0</x:v>
      </x:c>
      <x:c r="P435" s="19" t="n">
        <x:f>M435-N435-O435</x:f>
        <x:v>24</x:v>
      </x:c>
    </x:row>
    <x:row r="436">
      <x:c r="A436" s="15" t="str">
        <x:v>SIM-0432</x:v>
      </x:c>
      <x:c r="B436" s="15" t="str">
        <x:v>2026-03</x:v>
      </x:c>
      <x:c r="C436" s="15" t="str">
        <x:v>Accesorios</x:v>
      </x:c>
      <x:c r="D436" s="15" t="str">
        <x:v>Tienda</x:v>
      </x:c>
      <x:c r="E436" s="15" t="n">
        <x:v>2</x:v>
      </x:c>
      <x:c r="F436" s="15" t="n">
        <x:v>0</x:v>
      </x:c>
      <x:c r="G436" s="19" t="n">
        <x:v>30</x:v>
      </x:c>
      <x:c r="H436" s="19" t="n">
        <x:v>9</x:v>
      </x:c>
      <x:c r="I436" s="17" t="n">
        <x:v>0.1</x:v>
      </x:c>
      <x:c r="J436" s="19" t="n">
        <x:v>2</x:v>
      </x:c>
      <x:c r="K436" s="19" t="n">
        <x:f>E436*G436</x:f>
        <x:v>60</x:v>
      </x:c>
      <x:c r="L436" s="19" t="n">
        <x:f>K436*I436</x:f>
        <x:v>6</x:v>
      </x:c>
      <x:c r="M436" s="19" t="n">
        <x:f>(E436-F436)*G436*(1-I436)</x:f>
        <x:v>54</x:v>
      </x:c>
      <x:c r="N436" s="19" t="n">
        <x:f>(E436-F436)*H436</x:f>
        <x:v>18</x:v>
      </x:c>
      <x:c r="O436" s="19" t="n">
        <x:f>F436*J436</x:f>
        <x:v>0</x:v>
      </x:c>
      <x:c r="P436" s="19" t="n">
        <x:f>M436-N436-O436</x:f>
        <x:v>36</x:v>
      </x:c>
    </x:row>
    <x:row r="437">
      <x:c r="A437" s="15" t="str">
        <x:v>SIM-0433</x:v>
      </x:c>
      <x:c r="B437" s="15" t="str">
        <x:v>2026-03</x:v>
      </x:c>
      <x:c r="C437" s="15" t="str">
        <x:v>Prendas</x:v>
      </x:c>
      <x:c r="D437" s="15" t="str">
        <x:v>Online</x:v>
      </x:c>
      <x:c r="E437" s="15" t="n">
        <x:v>1</x:v>
      </x:c>
      <x:c r="F437" s="15" t="n">
        <x:v>0</x:v>
      </x:c>
      <x:c r="G437" s="19" t="n">
        <x:v>60</x:v>
      </x:c>
      <x:c r="H437" s="19" t="n">
        <x:v>24</x:v>
      </x:c>
      <x:c r="I437" s="17" t="n">
        <x:v>0</x:v>
      </x:c>
      <x:c r="J437" s="19" t="n">
        <x:v>6</x:v>
      </x:c>
      <x:c r="K437" s="19" t="n">
        <x:f>E437*G437</x:f>
        <x:v>60</x:v>
      </x:c>
      <x:c r="L437" s="19" t="n">
        <x:f>K437*I437</x:f>
        <x:v>0</x:v>
      </x:c>
      <x:c r="M437" s="19" t="n">
        <x:f>(E437-F437)*G437*(1-I437)</x:f>
        <x:v>60</x:v>
      </x:c>
      <x:c r="N437" s="19" t="n">
        <x:f>(E437-F437)*H437</x:f>
        <x:v>24</x:v>
      </x:c>
      <x:c r="O437" s="19" t="n">
        <x:f>F437*J437</x:f>
        <x:v>0</x:v>
      </x:c>
      <x:c r="P437" s="19" t="n">
        <x:f>M437-N437-O437</x:f>
        <x:v>36</x:v>
      </x:c>
    </x:row>
    <x:row r="438">
      <x:c r="A438" s="15" t="str">
        <x:v>SIM-0434</x:v>
      </x:c>
      <x:c r="B438" s="15" t="str">
        <x:v>2026-03</x:v>
      </x:c>
      <x:c r="C438" s="15" t="str">
        <x:v>Calzado</x:v>
      </x:c>
      <x:c r="D438" s="15" t="str">
        <x:v>Tienda</x:v>
      </x:c>
      <x:c r="E438" s="15" t="n">
        <x:v>1</x:v>
      </x:c>
      <x:c r="F438" s="15" t="n">
        <x:v>0</x:v>
      </x:c>
      <x:c r="G438" s="19" t="n">
        <x:v>90</x:v>
      </x:c>
      <x:c r="H438" s="19" t="n">
        <x:v>42</x:v>
      </x:c>
      <x:c r="I438" s="17" t="n">
        <x:v>0</x:v>
      </x:c>
      <x:c r="J438" s="19" t="n">
        <x:v>2</x:v>
      </x:c>
      <x:c r="K438" s="19" t="n">
        <x:f>E438*G438</x:f>
        <x:v>90</x:v>
      </x:c>
      <x:c r="L438" s="19" t="n">
        <x:f>K438*I438</x:f>
        <x:v>0</x:v>
      </x:c>
      <x:c r="M438" s="19" t="n">
        <x:f>(E438-F438)*G438*(1-I438)</x:f>
        <x:v>90</x:v>
      </x:c>
      <x:c r="N438" s="19" t="n">
        <x:f>(E438-F438)*H438</x:f>
        <x:v>42</x:v>
      </x:c>
      <x:c r="O438" s="19" t="n">
        <x:f>F438*J438</x:f>
        <x:v>0</x:v>
      </x:c>
      <x:c r="P438" s="19" t="n">
        <x:f>M438-N438-O438</x:f>
        <x:v>48</x:v>
      </x:c>
    </x:row>
    <x:row r="439">
      <x:c r="A439" s="15" t="str">
        <x:v>SIM-0435</x:v>
      </x:c>
      <x:c r="B439" s="15" t="str">
        <x:v>2026-03</x:v>
      </x:c>
      <x:c r="C439" s="15" t="str">
        <x:v>Accesorios</x:v>
      </x:c>
      <x:c r="D439" s="15" t="str">
        <x:v>Online</x:v>
      </x:c>
      <x:c r="E439" s="15" t="n">
        <x:v>1</x:v>
      </x:c>
      <x:c r="F439" s="15" t="n">
        <x:v>0</x:v>
      </x:c>
      <x:c r="G439" s="19" t="n">
        <x:v>30</x:v>
      </x:c>
      <x:c r="H439" s="19" t="n">
        <x:v>9</x:v>
      </x:c>
      <x:c r="I439" s="17" t="n">
        <x:v>0.1</x:v>
      </x:c>
      <x:c r="J439" s="19" t="n">
        <x:v>6</x:v>
      </x:c>
      <x:c r="K439" s="19" t="n">
        <x:f>E439*G439</x:f>
        <x:v>30</x:v>
      </x:c>
      <x:c r="L439" s="19" t="n">
        <x:f>K439*I439</x:f>
        <x:v>3</x:v>
      </x:c>
      <x:c r="M439" s="19" t="n">
        <x:f>(E439-F439)*G439*(1-I439)</x:f>
        <x:v>27</x:v>
      </x:c>
      <x:c r="N439" s="19" t="n">
        <x:f>(E439-F439)*H439</x:f>
        <x:v>9</x:v>
      </x:c>
      <x:c r="O439" s="19" t="n">
        <x:f>F439*J439</x:f>
        <x:v>0</x:v>
      </x:c>
      <x:c r="P439" s="19" t="n">
        <x:f>M439-N439-O439</x:f>
        <x:v>18</x:v>
      </x:c>
    </x:row>
    <x:row r="440">
      <x:c r="A440" s="15" t="str">
        <x:v>SIM-0436</x:v>
      </x:c>
      <x:c r="B440" s="15" t="str">
        <x:v>2026-03</x:v>
      </x:c>
      <x:c r="C440" s="15" t="str">
        <x:v>Prendas</x:v>
      </x:c>
      <x:c r="D440" s="15" t="str">
        <x:v>Tienda</x:v>
      </x:c>
      <x:c r="E440" s="15" t="n">
        <x:v>3</x:v>
      </x:c>
      <x:c r="F440" s="15" t="n">
        <x:v>0</x:v>
      </x:c>
      <x:c r="G440" s="19" t="n">
        <x:v>60</x:v>
      </x:c>
      <x:c r="H440" s="19" t="n">
        <x:v>24</x:v>
      </x:c>
      <x:c r="I440" s="17" t="n">
        <x:v>0</x:v>
      </x:c>
      <x:c r="J440" s="19" t="n">
        <x:v>2</x:v>
      </x:c>
      <x:c r="K440" s="19" t="n">
        <x:f>E440*G440</x:f>
        <x:v>180</x:v>
      </x:c>
      <x:c r="L440" s="19" t="n">
        <x:f>K440*I440</x:f>
        <x:v>0</x:v>
      </x:c>
      <x:c r="M440" s="19" t="n">
        <x:f>(E440-F440)*G440*(1-I440)</x:f>
        <x:v>180</x:v>
      </x:c>
      <x:c r="N440" s="19" t="n">
        <x:f>(E440-F440)*H440</x:f>
        <x:v>72</x:v>
      </x:c>
      <x:c r="O440" s="19" t="n">
        <x:f>F440*J440</x:f>
        <x:v>0</x:v>
      </x:c>
      <x:c r="P440" s="19" t="n">
        <x:f>M440-N440-O440</x:f>
        <x:v>108</x:v>
      </x:c>
    </x:row>
    <x:row r="441">
      <x:c r="A441" s="15" t="str">
        <x:v>SIM-0437</x:v>
      </x:c>
      <x:c r="B441" s="15" t="str">
        <x:v>2026-03</x:v>
      </x:c>
      <x:c r="C441" s="15" t="str">
        <x:v>Calzado</x:v>
      </x:c>
      <x:c r="D441" s="15" t="str">
        <x:v>Tienda</x:v>
      </x:c>
      <x:c r="E441" s="15" t="n">
        <x:v>2</x:v>
      </x:c>
      <x:c r="F441" s="15" t="n">
        <x:v>0</x:v>
      </x:c>
      <x:c r="G441" s="19" t="n">
        <x:v>90</x:v>
      </x:c>
      <x:c r="H441" s="19" t="n">
        <x:v>42</x:v>
      </x:c>
      <x:c r="I441" s="17" t="n">
        <x:v>0.1</x:v>
      </x:c>
      <x:c r="J441" s="19" t="n">
        <x:v>2</x:v>
      </x:c>
      <x:c r="K441" s="19" t="n">
        <x:f>E441*G441</x:f>
        <x:v>180</x:v>
      </x:c>
      <x:c r="L441" s="19" t="n">
        <x:f>K441*I441</x:f>
        <x:v>18</x:v>
      </x:c>
      <x:c r="M441" s="19" t="n">
        <x:f>(E441-F441)*G441*(1-I441)</x:f>
        <x:v>162</x:v>
      </x:c>
      <x:c r="N441" s="19" t="n">
        <x:f>(E441-F441)*H441</x:f>
        <x:v>84</x:v>
      </x:c>
      <x:c r="O441" s="19" t="n">
        <x:f>F441*J441</x:f>
        <x:v>0</x:v>
      </x:c>
      <x:c r="P441" s="19" t="n">
        <x:f>M441-N441-O441</x:f>
        <x:v>78</x:v>
      </x:c>
    </x:row>
    <x:row r="442">
      <x:c r="A442" s="15" t="str">
        <x:v>SIM-0438</x:v>
      </x:c>
      <x:c r="B442" s="15" t="str">
        <x:v>2026-03</x:v>
      </x:c>
      <x:c r="C442" s="15" t="str">
        <x:v>Accesorios</x:v>
      </x:c>
      <x:c r="D442" s="15" t="str">
        <x:v>Online</x:v>
      </x:c>
      <x:c r="E442" s="15" t="n">
        <x:v>1</x:v>
      </x:c>
      <x:c r="F442" s="15" t="n">
        <x:v>0</x:v>
      </x:c>
      <x:c r="G442" s="19" t="n">
        <x:v>30</x:v>
      </x:c>
      <x:c r="H442" s="19" t="n">
        <x:v>9</x:v>
      </x:c>
      <x:c r="I442" s="17" t="n">
        <x:v>0.1</x:v>
      </x:c>
      <x:c r="J442" s="19" t="n">
        <x:v>6</x:v>
      </x:c>
      <x:c r="K442" s="19" t="n">
        <x:f>E442*G442</x:f>
        <x:v>30</x:v>
      </x:c>
      <x:c r="L442" s="19" t="n">
        <x:f>K442*I442</x:f>
        <x:v>3</x:v>
      </x:c>
      <x:c r="M442" s="19" t="n">
        <x:f>(E442-F442)*G442*(1-I442)</x:f>
        <x:v>27</x:v>
      </x:c>
      <x:c r="N442" s="19" t="n">
        <x:f>(E442-F442)*H442</x:f>
        <x:v>9</x:v>
      </x:c>
      <x:c r="O442" s="19" t="n">
        <x:f>F442*J442</x:f>
        <x:v>0</x:v>
      </x:c>
      <x:c r="P442" s="19" t="n">
        <x:f>M442-N442-O442</x:f>
        <x:v>18</x:v>
      </x:c>
    </x:row>
    <x:row r="443">
      <x:c r="A443" s="15" t="str">
        <x:v>SIM-0439</x:v>
      </x:c>
      <x:c r="B443" s="15" t="str">
        <x:v>2026-03</x:v>
      </x:c>
      <x:c r="C443" s="15" t="str">
        <x:v>Accesorios</x:v>
      </x:c>
      <x:c r="D443" s="15" t="str">
        <x:v>Online</x:v>
      </x:c>
      <x:c r="E443" s="15" t="n">
        <x:v>1</x:v>
      </x:c>
      <x:c r="F443" s="15" t="n">
        <x:v>0</x:v>
      </x:c>
      <x:c r="G443" s="19" t="n">
        <x:v>30</x:v>
      </x:c>
      <x:c r="H443" s="19" t="n">
        <x:v>9</x:v>
      </x:c>
      <x:c r="I443" s="17" t="n">
        <x:v>0.3</x:v>
      </x:c>
      <x:c r="J443" s="19" t="n">
        <x:v>6</x:v>
      </x:c>
      <x:c r="K443" s="19" t="n">
        <x:f>E443*G443</x:f>
        <x:v>30</x:v>
      </x:c>
      <x:c r="L443" s="19" t="n">
        <x:f>K443*I443</x:f>
        <x:v>9</x:v>
      </x:c>
      <x:c r="M443" s="19" t="n">
        <x:f>(E443-F443)*G443*(1-I443)</x:f>
        <x:v>21</x:v>
      </x:c>
      <x:c r="N443" s="19" t="n">
        <x:f>(E443-F443)*H443</x:f>
        <x:v>9</x:v>
      </x:c>
      <x:c r="O443" s="19" t="n">
        <x:f>F443*J443</x:f>
        <x:v>0</x:v>
      </x:c>
      <x:c r="P443" s="19" t="n">
        <x:f>M443-N443-O443</x:f>
        <x:v>12</x:v>
      </x:c>
    </x:row>
    <x:row r="444">
      <x:c r="A444" s="15" t="str">
        <x:v>SIM-0440</x:v>
      </x:c>
      <x:c r="B444" s="15" t="str">
        <x:v>2026-03</x:v>
      </x:c>
      <x:c r="C444" s="15" t="str">
        <x:v>Prendas</x:v>
      </x:c>
      <x:c r="D444" s="15" t="str">
        <x:v>Online</x:v>
      </x:c>
      <x:c r="E444" s="15" t="n">
        <x:v>2</x:v>
      </x:c>
      <x:c r="F444" s="15" t="n">
        <x:v>0</x:v>
      </x:c>
      <x:c r="G444" s="19" t="n">
        <x:v>60</x:v>
      </x:c>
      <x:c r="H444" s="19" t="n">
        <x:v>24</x:v>
      </x:c>
      <x:c r="I444" s="17" t="n">
        <x:v>0.3</x:v>
      </x:c>
      <x:c r="J444" s="19" t="n">
        <x:v>6</x:v>
      </x:c>
      <x:c r="K444" s="19" t="n">
        <x:f>E444*G444</x:f>
        <x:v>120</x:v>
      </x:c>
      <x:c r="L444" s="19" t="n">
        <x:f>K444*I444</x:f>
        <x:v>36</x:v>
      </x:c>
      <x:c r="M444" s="19" t="n">
        <x:f>(E444-F444)*G444*(1-I444)</x:f>
        <x:v>84</x:v>
      </x:c>
      <x:c r="N444" s="19" t="n">
        <x:f>(E444-F444)*H444</x:f>
        <x:v>48</x:v>
      </x:c>
      <x:c r="O444" s="19" t="n">
        <x:f>F444*J444</x:f>
        <x:v>0</x:v>
      </x:c>
      <x:c r="P444" s="19" t="n">
        <x:f>M444-N444-O444</x:f>
        <x:v>36</x:v>
      </x:c>
    </x:row>
    <x:row r="445">
      <x:c r="A445" s="15" t="str">
        <x:v>SIM-0441</x:v>
      </x:c>
      <x:c r="B445" s="15" t="str">
        <x:v>2026-03</x:v>
      </x:c>
      <x:c r="C445" s="15" t="str">
        <x:v>Prendas</x:v>
      </x:c>
      <x:c r="D445" s="15" t="str">
        <x:v>Online</x:v>
      </x:c>
      <x:c r="E445" s="15" t="n">
        <x:v>1</x:v>
      </x:c>
      <x:c r="F445" s="15" t="n">
        <x:v>0</x:v>
      </x:c>
      <x:c r="G445" s="19" t="n">
        <x:v>60</x:v>
      </x:c>
      <x:c r="H445" s="19" t="n">
        <x:v>24</x:v>
      </x:c>
      <x:c r="I445" s="17" t="n">
        <x:v>0</x:v>
      </x:c>
      <x:c r="J445" s="19" t="n">
        <x:v>6</x:v>
      </x:c>
      <x:c r="K445" s="19" t="n">
        <x:f>E445*G445</x:f>
        <x:v>60</x:v>
      </x:c>
      <x:c r="L445" s="19" t="n">
        <x:f>K445*I445</x:f>
        <x:v>0</x:v>
      </x:c>
      <x:c r="M445" s="19" t="n">
        <x:f>(E445-F445)*G445*(1-I445)</x:f>
        <x:v>60</x:v>
      </x:c>
      <x:c r="N445" s="19" t="n">
        <x:f>(E445-F445)*H445</x:f>
        <x:v>24</x:v>
      </x:c>
      <x:c r="O445" s="19" t="n">
        <x:f>F445*J445</x:f>
        <x:v>0</x:v>
      </x:c>
      <x:c r="P445" s="19" t="n">
        <x:f>M445-N445-O445</x:f>
        <x:v>36</x:v>
      </x:c>
    </x:row>
    <x:row r="446">
      <x:c r="A446" s="15" t="str">
        <x:v>SIM-0442</x:v>
      </x:c>
      <x:c r="B446" s="15" t="str">
        <x:v>2026-03</x:v>
      </x:c>
      <x:c r="C446" s="15" t="str">
        <x:v>Calzado</x:v>
      </x:c>
      <x:c r="D446" s="15" t="str">
        <x:v>Online</x:v>
      </x:c>
      <x:c r="E446" s="15" t="n">
        <x:v>1</x:v>
      </x:c>
      <x:c r="F446" s="15" t="n">
        <x:v>0</x:v>
      </x:c>
      <x:c r="G446" s="19" t="n">
        <x:v>90</x:v>
      </x:c>
      <x:c r="H446" s="19" t="n">
        <x:v>42</x:v>
      </x:c>
      <x:c r="I446" s="17" t="n">
        <x:v>0.2</x:v>
      </x:c>
      <x:c r="J446" s="19" t="n">
        <x:v>6</x:v>
      </x:c>
      <x:c r="K446" s="19" t="n">
        <x:f>E446*G446</x:f>
        <x:v>90</x:v>
      </x:c>
      <x:c r="L446" s="19" t="n">
        <x:f>K446*I446</x:f>
        <x:v>18</x:v>
      </x:c>
      <x:c r="M446" s="19" t="n">
        <x:f>(E446-F446)*G446*(1-I446)</x:f>
        <x:v>72</x:v>
      </x:c>
      <x:c r="N446" s="19" t="n">
        <x:f>(E446-F446)*H446</x:f>
        <x:v>42</x:v>
      </x:c>
      <x:c r="O446" s="19" t="n">
        <x:f>F446*J446</x:f>
        <x:v>0</x:v>
      </x:c>
      <x:c r="P446" s="19" t="n">
        <x:f>M446-N446-O446</x:f>
        <x:v>30</x:v>
      </x:c>
    </x:row>
    <x:row r="447">
      <x:c r="A447" s="15" t="str">
        <x:v>SIM-0443</x:v>
      </x:c>
      <x:c r="B447" s="15" t="str">
        <x:v>2026-03</x:v>
      </x:c>
      <x:c r="C447" s="15" t="str">
        <x:v>Calzado</x:v>
      </x:c>
      <x:c r="D447" s="15" t="str">
        <x:v>Tienda</x:v>
      </x:c>
      <x:c r="E447" s="15" t="n">
        <x:v>1</x:v>
      </x:c>
      <x:c r="F447" s="15" t="n">
        <x:v>0</x:v>
      </x:c>
      <x:c r="G447" s="19" t="n">
        <x:v>90</x:v>
      </x:c>
      <x:c r="H447" s="19" t="n">
        <x:v>42</x:v>
      </x:c>
      <x:c r="I447" s="17" t="n">
        <x:v>0</x:v>
      </x:c>
      <x:c r="J447" s="19" t="n">
        <x:v>2</x:v>
      </x:c>
      <x:c r="K447" s="19" t="n">
        <x:f>E447*G447</x:f>
        <x:v>90</x:v>
      </x:c>
      <x:c r="L447" s="19" t="n">
        <x:f>K447*I447</x:f>
        <x:v>0</x:v>
      </x:c>
      <x:c r="M447" s="19" t="n">
        <x:f>(E447-F447)*G447*(1-I447)</x:f>
        <x:v>90</x:v>
      </x:c>
      <x:c r="N447" s="19" t="n">
        <x:f>(E447-F447)*H447</x:f>
        <x:v>42</x:v>
      </x:c>
      <x:c r="O447" s="19" t="n">
        <x:f>F447*J447</x:f>
        <x:v>0</x:v>
      </x:c>
      <x:c r="P447" s="19" t="n">
        <x:f>M447-N447-O447</x:f>
        <x:v>48</x:v>
      </x:c>
    </x:row>
    <x:row r="448">
      <x:c r="A448" s="15" t="str">
        <x:v>SIM-0444</x:v>
      </x:c>
      <x:c r="B448" s="15" t="str">
        <x:v>2026-03</x:v>
      </x:c>
      <x:c r="C448" s="15" t="str">
        <x:v>Calzado</x:v>
      </x:c>
      <x:c r="D448" s="15" t="str">
        <x:v>Tienda</x:v>
      </x:c>
      <x:c r="E448" s="15" t="n">
        <x:v>1</x:v>
      </x:c>
      <x:c r="F448" s="15" t="n">
        <x:v>0</x:v>
      </x:c>
      <x:c r="G448" s="19" t="n">
        <x:v>90</x:v>
      </x:c>
      <x:c r="H448" s="19" t="n">
        <x:v>42</x:v>
      </x:c>
      <x:c r="I448" s="17" t="n">
        <x:v>0</x:v>
      </x:c>
      <x:c r="J448" s="19" t="n">
        <x:v>2</x:v>
      </x:c>
      <x:c r="K448" s="19" t="n">
        <x:f>E448*G448</x:f>
        <x:v>90</x:v>
      </x:c>
      <x:c r="L448" s="19" t="n">
        <x:f>K448*I448</x:f>
        <x:v>0</x:v>
      </x:c>
      <x:c r="M448" s="19" t="n">
        <x:f>(E448-F448)*G448*(1-I448)</x:f>
        <x:v>90</x:v>
      </x:c>
      <x:c r="N448" s="19" t="n">
        <x:f>(E448-F448)*H448</x:f>
        <x:v>42</x:v>
      </x:c>
      <x:c r="O448" s="19" t="n">
        <x:f>F448*J448</x:f>
        <x:v>0</x:v>
      </x:c>
      <x:c r="P448" s="19" t="n">
        <x:f>M448-N448-O448</x:f>
        <x:v>48</x:v>
      </x:c>
    </x:row>
    <x:row r="449">
      <x:c r="A449" s="15" t="str">
        <x:v>SIM-0445</x:v>
      </x:c>
      <x:c r="B449" s="15" t="str">
        <x:v>2026-03</x:v>
      </x:c>
      <x:c r="C449" s="15" t="str">
        <x:v>Calzado</x:v>
      </x:c>
      <x:c r="D449" s="15" t="str">
        <x:v>Online</x:v>
      </x:c>
      <x:c r="E449" s="15" t="n">
        <x:v>1</x:v>
      </x:c>
      <x:c r="F449" s="15" t="n">
        <x:v>0</x:v>
      </x:c>
      <x:c r="G449" s="19" t="n">
        <x:v>90</x:v>
      </x:c>
      <x:c r="H449" s="19" t="n">
        <x:v>42</x:v>
      </x:c>
      <x:c r="I449" s="17" t="n">
        <x:v>0</x:v>
      </x:c>
      <x:c r="J449" s="19" t="n">
        <x:v>6</x:v>
      </x:c>
      <x:c r="K449" s="19" t="n">
        <x:f>E449*G449</x:f>
        <x:v>90</x:v>
      </x:c>
      <x:c r="L449" s="19" t="n">
        <x:f>K449*I449</x:f>
        <x:v>0</x:v>
      </x:c>
      <x:c r="M449" s="19" t="n">
        <x:f>(E449-F449)*G449*(1-I449)</x:f>
        <x:v>90</x:v>
      </x:c>
      <x:c r="N449" s="19" t="n">
        <x:f>(E449-F449)*H449</x:f>
        <x:v>42</x:v>
      </x:c>
      <x:c r="O449" s="19" t="n">
        <x:f>F449*J449</x:f>
        <x:v>0</x:v>
      </x:c>
      <x:c r="P449" s="19" t="n">
        <x:f>M449-N449-O449</x:f>
        <x:v>48</x:v>
      </x:c>
    </x:row>
    <x:row r="450">
      <x:c r="A450" s="15" t="str">
        <x:v>SIM-0446</x:v>
      </x:c>
      <x:c r="B450" s="15" t="str">
        <x:v>2026-03</x:v>
      </x:c>
      <x:c r="C450" s="15" t="str">
        <x:v>Calzado</x:v>
      </x:c>
      <x:c r="D450" s="15" t="str">
        <x:v>Online</x:v>
      </x:c>
      <x:c r="E450" s="15" t="n">
        <x:v>1</x:v>
      </x:c>
      <x:c r="F450" s="15" t="n">
        <x:v>0</x:v>
      </x:c>
      <x:c r="G450" s="19" t="n">
        <x:v>90</x:v>
      </x:c>
      <x:c r="H450" s="19" t="n">
        <x:v>42</x:v>
      </x:c>
      <x:c r="I450" s="17" t="n">
        <x:v>0.3</x:v>
      </x:c>
      <x:c r="J450" s="19" t="n">
        <x:v>6</x:v>
      </x:c>
      <x:c r="K450" s="19" t="n">
        <x:f>E450*G450</x:f>
        <x:v>90</x:v>
      </x:c>
      <x:c r="L450" s="19" t="n">
        <x:f>K450*I450</x:f>
        <x:v>27</x:v>
      </x:c>
      <x:c r="M450" s="19" t="n">
        <x:f>(E450-F450)*G450*(1-I450)</x:f>
        <x:v>62.99999999999999</x:v>
      </x:c>
      <x:c r="N450" s="19" t="n">
        <x:f>(E450-F450)*H450</x:f>
        <x:v>42</x:v>
      </x:c>
      <x:c r="O450" s="19" t="n">
        <x:f>F450*J450</x:f>
        <x:v>0</x:v>
      </x:c>
      <x:c r="P450" s="19" t="n">
        <x:f>M450-N450-O450</x:f>
        <x:v>20.999999999999993</x:v>
      </x:c>
    </x:row>
    <x:row r="451">
      <x:c r="A451" s="15" t="str">
        <x:v>SIM-0447</x:v>
      </x:c>
      <x:c r="B451" s="15" t="str">
        <x:v>2026-03</x:v>
      </x:c>
      <x:c r="C451" s="15" t="str">
        <x:v>Calzado</x:v>
      </x:c>
      <x:c r="D451" s="15" t="str">
        <x:v>Tienda</x:v>
      </x:c>
      <x:c r="E451" s="15" t="n">
        <x:v>1</x:v>
      </x:c>
      <x:c r="F451" s="15" t="n">
        <x:v>0</x:v>
      </x:c>
      <x:c r="G451" s="19" t="n">
        <x:v>90</x:v>
      </x:c>
      <x:c r="H451" s="19" t="n">
        <x:v>42</x:v>
      </x:c>
      <x:c r="I451" s="17" t="n">
        <x:v>0.1</x:v>
      </x:c>
      <x:c r="J451" s="19" t="n">
        <x:v>2</x:v>
      </x:c>
      <x:c r="K451" s="19" t="n">
        <x:f>E451*G451</x:f>
        <x:v>90</x:v>
      </x:c>
      <x:c r="L451" s="19" t="n">
        <x:f>K451*I451</x:f>
        <x:v>9</x:v>
      </x:c>
      <x:c r="M451" s="19" t="n">
        <x:f>(E451-F451)*G451*(1-I451)</x:f>
        <x:v>81</x:v>
      </x:c>
      <x:c r="N451" s="19" t="n">
        <x:f>(E451-F451)*H451</x:f>
        <x:v>42</x:v>
      </x:c>
      <x:c r="O451" s="19" t="n">
        <x:f>F451*J451</x:f>
        <x:v>0</x:v>
      </x:c>
      <x:c r="P451" s="19" t="n">
        <x:f>M451-N451-O451</x:f>
        <x:v>39</x:v>
      </x:c>
    </x:row>
    <x:row r="452">
      <x:c r="A452" s="15" t="str">
        <x:v>SIM-0448</x:v>
      </x:c>
      <x:c r="B452" s="15" t="str">
        <x:v>2026-03</x:v>
      </x:c>
      <x:c r="C452" s="15" t="str">
        <x:v>Accesorios</x:v>
      </x:c>
      <x:c r="D452" s="15" t="str">
        <x:v>Online</x:v>
      </x:c>
      <x:c r="E452" s="15" t="n">
        <x:v>1</x:v>
      </x:c>
      <x:c r="F452" s="15" t="n">
        <x:v>0</x:v>
      </x:c>
      <x:c r="G452" s="19" t="n">
        <x:v>30</x:v>
      </x:c>
      <x:c r="H452" s="19" t="n">
        <x:v>9</x:v>
      </x:c>
      <x:c r="I452" s="17" t="n">
        <x:v>0</x:v>
      </x:c>
      <x:c r="J452" s="19" t="n">
        <x:v>6</x:v>
      </x:c>
      <x:c r="K452" s="19" t="n">
        <x:f>E452*G452</x:f>
        <x:v>30</x:v>
      </x:c>
      <x:c r="L452" s="19" t="n">
        <x:f>K452*I452</x:f>
        <x:v>0</x:v>
      </x:c>
      <x:c r="M452" s="19" t="n">
        <x:f>(E452-F452)*G452*(1-I452)</x:f>
        <x:v>30</x:v>
      </x:c>
      <x:c r="N452" s="19" t="n">
        <x:f>(E452-F452)*H452</x:f>
        <x:v>9</x:v>
      </x:c>
      <x:c r="O452" s="19" t="n">
        <x:f>F452*J452</x:f>
        <x:v>0</x:v>
      </x:c>
      <x:c r="P452" s="19" t="n">
        <x:f>M452-N452-O452</x:f>
        <x:v>21</x:v>
      </x:c>
    </x:row>
    <x:row r="453">
      <x:c r="A453" s="15" t="str">
        <x:v>SIM-0449</x:v>
      </x:c>
      <x:c r="B453" s="15" t="str">
        <x:v>2026-03</x:v>
      </x:c>
      <x:c r="C453" s="15" t="str">
        <x:v>Prendas</x:v>
      </x:c>
      <x:c r="D453" s="15" t="str">
        <x:v>Online</x:v>
      </x:c>
      <x:c r="E453" s="15" t="n">
        <x:v>1</x:v>
      </x:c>
      <x:c r="F453" s="15" t="n">
        <x:v>0</x:v>
      </x:c>
      <x:c r="G453" s="19" t="n">
        <x:v>60</x:v>
      </x:c>
      <x:c r="H453" s="19" t="n">
        <x:v>24</x:v>
      </x:c>
      <x:c r="I453" s="17" t="n">
        <x:v>0</x:v>
      </x:c>
      <x:c r="J453" s="19" t="n">
        <x:v>6</x:v>
      </x:c>
      <x:c r="K453" s="19" t="n">
        <x:f>E453*G453</x:f>
        <x:v>60</x:v>
      </x:c>
      <x:c r="L453" s="19" t="n">
        <x:f>K453*I453</x:f>
        <x:v>0</x:v>
      </x:c>
      <x:c r="M453" s="19" t="n">
        <x:f>(E453-F453)*G453*(1-I453)</x:f>
        <x:v>60</x:v>
      </x:c>
      <x:c r="N453" s="19" t="n">
        <x:f>(E453-F453)*H453</x:f>
        <x:v>24</x:v>
      </x:c>
      <x:c r="O453" s="19" t="n">
        <x:f>F453*J453</x:f>
        <x:v>0</x:v>
      </x:c>
      <x:c r="P453" s="19" t="n">
        <x:f>M453-N453-O453</x:f>
        <x:v>36</x:v>
      </x:c>
    </x:row>
    <x:row r="454">
      <x:c r="A454" s="15" t="str">
        <x:v>SIM-0450</x:v>
      </x:c>
      <x:c r="B454" s="15" t="str">
        <x:v>2026-03</x:v>
      </x:c>
      <x:c r="C454" s="15" t="str">
        <x:v>Calzado</x:v>
      </x:c>
      <x:c r="D454" s="15" t="str">
        <x:v>Online</x:v>
      </x:c>
      <x:c r="E454" s="15" t="n">
        <x:v>1</x:v>
      </x:c>
      <x:c r="F454" s="15" t="n">
        <x:v>0</x:v>
      </x:c>
      <x:c r="G454" s="19" t="n">
        <x:v>90</x:v>
      </x:c>
      <x:c r="H454" s="19" t="n">
        <x:v>42</x:v>
      </x:c>
      <x:c r="I454" s="17" t="n">
        <x:v>0</x:v>
      </x:c>
      <x:c r="J454" s="19" t="n">
        <x:v>6</x:v>
      </x:c>
      <x:c r="K454" s="19" t="n">
        <x:f>E454*G454</x:f>
        <x:v>90</x:v>
      </x:c>
      <x:c r="L454" s="19" t="n">
        <x:f>K454*I454</x:f>
        <x:v>0</x:v>
      </x:c>
      <x:c r="M454" s="19" t="n">
        <x:f>(E454-F454)*G454*(1-I454)</x:f>
        <x:v>90</x:v>
      </x:c>
      <x:c r="N454" s="19" t="n">
        <x:f>(E454-F454)*H454</x:f>
        <x:v>42</x:v>
      </x:c>
      <x:c r="O454" s="19" t="n">
        <x:f>F454*J454</x:f>
        <x:v>0</x:v>
      </x:c>
      <x:c r="P454" s="19" t="n">
        <x:f>M454-N454-O454</x:f>
        <x:v>48</x:v>
      </x:c>
    </x:row>
    <x:row r="455">
      <x:c r="A455" s="15" t="str">
        <x:v>SIM-0451</x:v>
      </x:c>
      <x:c r="B455" s="15" t="str">
        <x:v>2026-03</x:v>
      </x:c>
      <x:c r="C455" s="15" t="str">
        <x:v>Accesorios</x:v>
      </x:c>
      <x:c r="D455" s="15" t="str">
        <x:v>Online</x:v>
      </x:c>
      <x:c r="E455" s="15" t="n">
        <x:v>1</x:v>
      </x:c>
      <x:c r="F455" s="15" t="n">
        <x:v>0</x:v>
      </x:c>
      <x:c r="G455" s="19" t="n">
        <x:v>30</x:v>
      </x:c>
      <x:c r="H455" s="19" t="n">
        <x:v>9</x:v>
      </x:c>
      <x:c r="I455" s="17" t="n">
        <x:v>0.1</x:v>
      </x:c>
      <x:c r="J455" s="19" t="n">
        <x:v>6</x:v>
      </x:c>
      <x:c r="K455" s="19" t="n">
        <x:f>E455*G455</x:f>
        <x:v>30</x:v>
      </x:c>
      <x:c r="L455" s="19" t="n">
        <x:f>K455*I455</x:f>
        <x:v>3</x:v>
      </x:c>
      <x:c r="M455" s="19" t="n">
        <x:f>(E455-F455)*G455*(1-I455)</x:f>
        <x:v>27</x:v>
      </x:c>
      <x:c r="N455" s="19" t="n">
        <x:f>(E455-F455)*H455</x:f>
        <x:v>9</x:v>
      </x:c>
      <x:c r="O455" s="19" t="n">
        <x:f>F455*J455</x:f>
        <x:v>0</x:v>
      </x:c>
      <x:c r="P455" s="19" t="n">
        <x:f>M455-N455-O455</x:f>
        <x:v>18</x:v>
      </x:c>
    </x:row>
    <x:row r="456">
      <x:c r="A456" s="15" t="str">
        <x:v>SIM-0452</x:v>
      </x:c>
      <x:c r="B456" s="15" t="str">
        <x:v>2026-03</x:v>
      </x:c>
      <x:c r="C456" s="15" t="str">
        <x:v>Prendas</x:v>
      </x:c>
      <x:c r="D456" s="15" t="str">
        <x:v>Tienda</x:v>
      </x:c>
      <x:c r="E456" s="15" t="n">
        <x:v>1</x:v>
      </x:c>
      <x:c r="F456" s="15" t="n">
        <x:v>0</x:v>
      </x:c>
      <x:c r="G456" s="19" t="n">
        <x:v>60</x:v>
      </x:c>
      <x:c r="H456" s="19" t="n">
        <x:v>24</x:v>
      </x:c>
      <x:c r="I456" s="17" t="n">
        <x:v>0.2</x:v>
      </x:c>
      <x:c r="J456" s="19" t="n">
        <x:v>2</x:v>
      </x:c>
      <x:c r="K456" s="19" t="n">
        <x:f>E456*G456</x:f>
        <x:v>60</x:v>
      </x:c>
      <x:c r="L456" s="19" t="n">
        <x:f>K456*I456</x:f>
        <x:v>12</x:v>
      </x:c>
      <x:c r="M456" s="19" t="n">
        <x:f>(E456-F456)*G456*(1-I456)</x:f>
        <x:v>48</x:v>
      </x:c>
      <x:c r="N456" s="19" t="n">
        <x:f>(E456-F456)*H456</x:f>
        <x:v>24</x:v>
      </x:c>
      <x:c r="O456" s="19" t="n">
        <x:f>F456*J456</x:f>
        <x:v>0</x:v>
      </x:c>
      <x:c r="P456" s="19" t="n">
        <x:f>M456-N456-O456</x:f>
        <x:v>24</x:v>
      </x:c>
    </x:row>
    <x:row r="457">
      <x:c r="A457" s="15" t="str">
        <x:v>SIM-0453</x:v>
      </x:c>
      <x:c r="B457" s="15" t="str">
        <x:v>2026-03</x:v>
      </x:c>
      <x:c r="C457" s="15" t="str">
        <x:v>Calzado</x:v>
      </x:c>
      <x:c r="D457" s="15" t="str">
        <x:v>Online</x:v>
      </x:c>
      <x:c r="E457" s="15" t="n">
        <x:v>3</x:v>
      </x:c>
      <x:c r="F457" s="15" t="n">
        <x:v>1</x:v>
      </x:c>
      <x:c r="G457" s="19" t="n">
        <x:v>90</x:v>
      </x:c>
      <x:c r="H457" s="19" t="n">
        <x:v>42</x:v>
      </x:c>
      <x:c r="I457" s="17" t="n">
        <x:v>0.1</x:v>
      </x:c>
      <x:c r="J457" s="19" t="n">
        <x:v>6</x:v>
      </x:c>
      <x:c r="K457" s="19" t="n">
        <x:f>E457*G457</x:f>
        <x:v>270</x:v>
      </x:c>
      <x:c r="L457" s="19" t="n">
        <x:f>K457*I457</x:f>
        <x:v>27</x:v>
      </x:c>
      <x:c r="M457" s="19" t="n">
        <x:f>(E457-F457)*G457*(1-I457)</x:f>
        <x:v>162</x:v>
      </x:c>
      <x:c r="N457" s="19" t="n">
        <x:f>(E457-F457)*H457</x:f>
        <x:v>84</x:v>
      </x:c>
      <x:c r="O457" s="19" t="n">
        <x:f>F457*J457</x:f>
        <x:v>6</x:v>
      </x:c>
      <x:c r="P457" s="19" t="n">
        <x:f>M457-N457-O457</x:f>
        <x:v>72</x:v>
      </x:c>
    </x:row>
    <x:row r="458">
      <x:c r="A458" s="15" t="str">
        <x:v>SIM-0454</x:v>
      </x:c>
      <x:c r="B458" s="15" t="str">
        <x:v>2026-03</x:v>
      </x:c>
      <x:c r="C458" s="15" t="str">
        <x:v>Accesorios</x:v>
      </x:c>
      <x:c r="D458" s="15" t="str">
        <x:v>Tienda</x:v>
      </x:c>
      <x:c r="E458" s="15" t="n">
        <x:v>1</x:v>
      </x:c>
      <x:c r="F458" s="15" t="n">
        <x:v>0</x:v>
      </x:c>
      <x:c r="G458" s="19" t="n">
        <x:v>30</x:v>
      </x:c>
      <x:c r="H458" s="19" t="n">
        <x:v>9</x:v>
      </x:c>
      <x:c r="I458" s="17" t="n">
        <x:v>0.2</x:v>
      </x:c>
      <x:c r="J458" s="19" t="n">
        <x:v>2</x:v>
      </x:c>
      <x:c r="K458" s="19" t="n">
        <x:f>E458*G458</x:f>
        <x:v>30</x:v>
      </x:c>
      <x:c r="L458" s="19" t="n">
        <x:f>K458*I458</x:f>
        <x:v>6</x:v>
      </x:c>
      <x:c r="M458" s="19" t="n">
        <x:f>(E458-F458)*G458*(1-I458)</x:f>
        <x:v>24</x:v>
      </x:c>
      <x:c r="N458" s="19" t="n">
        <x:f>(E458-F458)*H458</x:f>
        <x:v>9</x:v>
      </x:c>
      <x:c r="O458" s="19" t="n">
        <x:f>F458*J458</x:f>
        <x:v>0</x:v>
      </x:c>
      <x:c r="P458" s="19" t="n">
        <x:f>M458-N458-O458</x:f>
        <x:v>15</x:v>
      </x:c>
    </x:row>
    <x:row r="459">
      <x:c r="A459" s="15" t="str">
        <x:v>SIM-0455</x:v>
      </x:c>
      <x:c r="B459" s="15" t="str">
        <x:v>2026-03</x:v>
      </x:c>
      <x:c r="C459" s="15" t="str">
        <x:v>Accesorios</x:v>
      </x:c>
      <x:c r="D459" s="15" t="str">
        <x:v>Online</x:v>
      </x:c>
      <x:c r="E459" s="15" t="n">
        <x:v>2</x:v>
      </x:c>
      <x:c r="F459" s="15" t="n">
        <x:v>0</x:v>
      </x:c>
      <x:c r="G459" s="19" t="n">
        <x:v>30</x:v>
      </x:c>
      <x:c r="H459" s="19" t="n">
        <x:v>9</x:v>
      </x:c>
      <x:c r="I459" s="17" t="n">
        <x:v>0.3</x:v>
      </x:c>
      <x:c r="J459" s="19" t="n">
        <x:v>6</x:v>
      </x:c>
      <x:c r="K459" s="19" t="n">
        <x:f>E459*G459</x:f>
        <x:v>60</x:v>
      </x:c>
      <x:c r="L459" s="19" t="n">
        <x:f>K459*I459</x:f>
        <x:v>18</x:v>
      </x:c>
      <x:c r="M459" s="19" t="n">
        <x:f>(E459-F459)*G459*(1-I459)</x:f>
        <x:v>42</x:v>
      </x:c>
      <x:c r="N459" s="19" t="n">
        <x:f>(E459-F459)*H459</x:f>
        <x:v>18</x:v>
      </x:c>
      <x:c r="O459" s="19" t="n">
        <x:f>F459*J459</x:f>
        <x:v>0</x:v>
      </x:c>
      <x:c r="P459" s="19" t="n">
        <x:f>M459-N459-O459</x:f>
        <x:v>24</x:v>
      </x:c>
    </x:row>
    <x:row r="460">
      <x:c r="A460" s="15" t="str">
        <x:v>SIM-0456</x:v>
      </x:c>
      <x:c r="B460" s="15" t="str">
        <x:v>2026-03</x:v>
      </x:c>
      <x:c r="C460" s="15" t="str">
        <x:v>Calzado</x:v>
      </x:c>
      <x:c r="D460" s="15" t="str">
        <x:v>Online</x:v>
      </x:c>
      <x:c r="E460" s="15" t="n">
        <x:v>1</x:v>
      </x:c>
      <x:c r="F460" s="15" t="n">
        <x:v>0</x:v>
      </x:c>
      <x:c r="G460" s="19" t="n">
        <x:v>90</x:v>
      </x:c>
      <x:c r="H460" s="19" t="n">
        <x:v>42</x:v>
      </x:c>
      <x:c r="I460" s="17" t="n">
        <x:v>0.1</x:v>
      </x:c>
      <x:c r="J460" s="19" t="n">
        <x:v>6</x:v>
      </x:c>
      <x:c r="K460" s="19" t="n">
        <x:f>E460*G460</x:f>
        <x:v>90</x:v>
      </x:c>
      <x:c r="L460" s="19" t="n">
        <x:f>K460*I460</x:f>
        <x:v>9</x:v>
      </x:c>
      <x:c r="M460" s="19" t="n">
        <x:f>(E460-F460)*G460*(1-I460)</x:f>
        <x:v>81</x:v>
      </x:c>
      <x:c r="N460" s="19" t="n">
        <x:f>(E460-F460)*H460</x:f>
        <x:v>42</x:v>
      </x:c>
      <x:c r="O460" s="19" t="n">
        <x:f>F460*J460</x:f>
        <x:v>0</x:v>
      </x:c>
      <x:c r="P460" s="19" t="n">
        <x:f>M460-N460-O460</x:f>
        <x:v>39</x:v>
      </x:c>
    </x:row>
    <x:row r="461">
      <x:c r="A461" s="15" t="str">
        <x:v>SIM-0457</x:v>
      </x:c>
      <x:c r="B461" s="15" t="str">
        <x:v>2026-03</x:v>
      </x:c>
      <x:c r="C461" s="15" t="str">
        <x:v>Prendas</x:v>
      </x:c>
      <x:c r="D461" s="15" t="str">
        <x:v>Online</x:v>
      </x:c>
      <x:c r="E461" s="15" t="n">
        <x:v>1</x:v>
      </x:c>
      <x:c r="F461" s="15" t="n">
        <x:v>0</x:v>
      </x:c>
      <x:c r="G461" s="19" t="n">
        <x:v>60</x:v>
      </x:c>
      <x:c r="H461" s="19" t="n">
        <x:v>24</x:v>
      </x:c>
      <x:c r="I461" s="17" t="n">
        <x:v>0.3</x:v>
      </x:c>
      <x:c r="J461" s="19" t="n">
        <x:v>6</x:v>
      </x:c>
      <x:c r="K461" s="19" t="n">
        <x:f>E461*G461</x:f>
        <x:v>60</x:v>
      </x:c>
      <x:c r="L461" s="19" t="n">
        <x:f>K461*I461</x:f>
        <x:v>18</x:v>
      </x:c>
      <x:c r="M461" s="19" t="n">
        <x:f>(E461-F461)*G461*(1-I461)</x:f>
        <x:v>42</x:v>
      </x:c>
      <x:c r="N461" s="19" t="n">
        <x:f>(E461-F461)*H461</x:f>
        <x:v>24</x:v>
      </x:c>
      <x:c r="O461" s="19" t="n">
        <x:f>F461*J461</x:f>
        <x:v>0</x:v>
      </x:c>
      <x:c r="P461" s="19" t="n">
        <x:f>M461-N461-O461</x:f>
        <x:v>18</x:v>
      </x:c>
    </x:row>
    <x:row r="462">
      <x:c r="A462" s="15" t="str">
        <x:v>SIM-0458</x:v>
      </x:c>
      <x:c r="B462" s="15" t="str">
        <x:v>2026-03</x:v>
      </x:c>
      <x:c r="C462" s="15" t="str">
        <x:v>Prendas</x:v>
      </x:c>
      <x:c r="D462" s="15" t="str">
        <x:v>Tienda</x:v>
      </x:c>
      <x:c r="E462" s="15" t="n">
        <x:v>1</x:v>
      </x:c>
      <x:c r="F462" s="15" t="n">
        <x:v>0</x:v>
      </x:c>
      <x:c r="G462" s="19" t="n">
        <x:v>60</x:v>
      </x:c>
      <x:c r="H462" s="19" t="n">
        <x:v>24</x:v>
      </x:c>
      <x:c r="I462" s="17" t="n">
        <x:v>0.3</x:v>
      </x:c>
      <x:c r="J462" s="19" t="n">
        <x:v>2</x:v>
      </x:c>
      <x:c r="K462" s="19" t="n">
        <x:f>E462*G462</x:f>
        <x:v>60</x:v>
      </x:c>
      <x:c r="L462" s="19" t="n">
        <x:f>K462*I462</x:f>
        <x:v>18</x:v>
      </x:c>
      <x:c r="M462" s="19" t="n">
        <x:f>(E462-F462)*G462*(1-I462)</x:f>
        <x:v>42</x:v>
      </x:c>
      <x:c r="N462" s="19" t="n">
        <x:f>(E462-F462)*H462</x:f>
        <x:v>24</x:v>
      </x:c>
      <x:c r="O462" s="19" t="n">
        <x:f>F462*J462</x:f>
        <x:v>0</x:v>
      </x:c>
      <x:c r="P462" s="19" t="n">
        <x:f>M462-N462-O462</x:f>
        <x:v>18</x:v>
      </x:c>
    </x:row>
    <x:row r="463">
      <x:c r="A463" s="15" t="str">
        <x:v>SIM-0459</x:v>
      </x:c>
      <x:c r="B463" s="15" t="str">
        <x:v>2026-03</x:v>
      </x:c>
      <x:c r="C463" s="15" t="str">
        <x:v>Prendas</x:v>
      </x:c>
      <x:c r="D463" s="15" t="str">
        <x:v>Online</x:v>
      </x:c>
      <x:c r="E463" s="15" t="n">
        <x:v>2</x:v>
      </x:c>
      <x:c r="F463" s="15" t="n">
        <x:v>0</x:v>
      </x:c>
      <x:c r="G463" s="19" t="n">
        <x:v>60</x:v>
      </x:c>
      <x:c r="H463" s="19" t="n">
        <x:v>24</x:v>
      </x:c>
      <x:c r="I463" s="17" t="n">
        <x:v>0.2</x:v>
      </x:c>
      <x:c r="J463" s="19" t="n">
        <x:v>6</x:v>
      </x:c>
      <x:c r="K463" s="19" t="n">
        <x:f>E463*G463</x:f>
        <x:v>120</x:v>
      </x:c>
      <x:c r="L463" s="19" t="n">
        <x:f>K463*I463</x:f>
        <x:v>24</x:v>
      </x:c>
      <x:c r="M463" s="19" t="n">
        <x:f>(E463-F463)*G463*(1-I463)</x:f>
        <x:v>96</x:v>
      </x:c>
      <x:c r="N463" s="19" t="n">
        <x:f>(E463-F463)*H463</x:f>
        <x:v>48</x:v>
      </x:c>
      <x:c r="O463" s="19" t="n">
        <x:f>F463*J463</x:f>
        <x:v>0</x:v>
      </x:c>
      <x:c r="P463" s="19" t="n">
        <x:f>M463-N463-O463</x:f>
        <x:v>48</x:v>
      </x:c>
    </x:row>
    <x:row r="464">
      <x:c r="A464" s="15" t="str">
        <x:v>SIM-0460</x:v>
      </x:c>
      <x:c r="B464" s="15" t="str">
        <x:v>2026-03</x:v>
      </x:c>
      <x:c r="C464" s="15" t="str">
        <x:v>Prendas</x:v>
      </x:c>
      <x:c r="D464" s="15" t="str">
        <x:v>Online</x:v>
      </x:c>
      <x:c r="E464" s="15" t="n">
        <x:v>1</x:v>
      </x:c>
      <x:c r="F464" s="15" t="n">
        <x:v>0</x:v>
      </x:c>
      <x:c r="G464" s="19" t="n">
        <x:v>60</x:v>
      </x:c>
      <x:c r="H464" s="19" t="n">
        <x:v>24</x:v>
      </x:c>
      <x:c r="I464" s="17" t="n">
        <x:v>0.2</x:v>
      </x:c>
      <x:c r="J464" s="19" t="n">
        <x:v>6</x:v>
      </x:c>
      <x:c r="K464" s="19" t="n">
        <x:f>E464*G464</x:f>
        <x:v>60</x:v>
      </x:c>
      <x:c r="L464" s="19" t="n">
        <x:f>K464*I464</x:f>
        <x:v>12</x:v>
      </x:c>
      <x:c r="M464" s="19" t="n">
        <x:f>(E464-F464)*G464*(1-I464)</x:f>
        <x:v>48</x:v>
      </x:c>
      <x:c r="N464" s="19" t="n">
        <x:f>(E464-F464)*H464</x:f>
        <x:v>24</x:v>
      </x:c>
      <x:c r="O464" s="19" t="n">
        <x:f>F464*J464</x:f>
        <x:v>0</x:v>
      </x:c>
      <x:c r="P464" s="19" t="n">
        <x:f>M464-N464-O464</x:f>
        <x:v>24</x:v>
      </x:c>
    </x:row>
    <x:row r="465">
      <x:c r="A465" s="15" t="str">
        <x:v>SIM-0461</x:v>
      </x:c>
      <x:c r="B465" s="15" t="str">
        <x:v>2026-03</x:v>
      </x:c>
      <x:c r="C465" s="15" t="str">
        <x:v>Calzado</x:v>
      </x:c>
      <x:c r="D465" s="15" t="str">
        <x:v>Online</x:v>
      </x:c>
      <x:c r="E465" s="15" t="n">
        <x:v>2</x:v>
      </x:c>
      <x:c r="F465" s="15" t="n">
        <x:v>0</x:v>
      </x:c>
      <x:c r="G465" s="19" t="n">
        <x:v>90</x:v>
      </x:c>
      <x:c r="H465" s="19" t="n">
        <x:v>42</x:v>
      </x:c>
      <x:c r="I465" s="17" t="n">
        <x:v>0.1</x:v>
      </x:c>
      <x:c r="J465" s="19" t="n">
        <x:v>6</x:v>
      </x:c>
      <x:c r="K465" s="19" t="n">
        <x:f>E465*G465</x:f>
        <x:v>180</x:v>
      </x:c>
      <x:c r="L465" s="19" t="n">
        <x:f>K465*I465</x:f>
        <x:v>18</x:v>
      </x:c>
      <x:c r="M465" s="19" t="n">
        <x:f>(E465-F465)*G465*(1-I465)</x:f>
        <x:v>162</x:v>
      </x:c>
      <x:c r="N465" s="19" t="n">
        <x:f>(E465-F465)*H465</x:f>
        <x:v>84</x:v>
      </x:c>
      <x:c r="O465" s="19" t="n">
        <x:f>F465*J465</x:f>
        <x:v>0</x:v>
      </x:c>
      <x:c r="P465" s="19" t="n">
        <x:f>M465-N465-O465</x:f>
        <x:v>78</x:v>
      </x:c>
    </x:row>
    <x:row r="466">
      <x:c r="A466" s="15" t="str">
        <x:v>SIM-0462</x:v>
      </x:c>
      <x:c r="B466" s="15" t="str">
        <x:v>2026-03</x:v>
      </x:c>
      <x:c r="C466" s="15" t="str">
        <x:v>Prendas</x:v>
      </x:c>
      <x:c r="D466" s="15" t="str">
        <x:v>Tienda</x:v>
      </x:c>
      <x:c r="E466" s="15" t="n">
        <x:v>1</x:v>
      </x:c>
      <x:c r="F466" s="15" t="n">
        <x:v>0</x:v>
      </x:c>
      <x:c r="G466" s="19" t="n">
        <x:v>60</x:v>
      </x:c>
      <x:c r="H466" s="19" t="n">
        <x:v>24</x:v>
      </x:c>
      <x:c r="I466" s="17" t="n">
        <x:v>0</x:v>
      </x:c>
      <x:c r="J466" s="19" t="n">
        <x:v>2</x:v>
      </x:c>
      <x:c r="K466" s="19" t="n">
        <x:f>E466*G466</x:f>
        <x:v>60</x:v>
      </x:c>
      <x:c r="L466" s="19" t="n">
        <x:f>K466*I466</x:f>
        <x:v>0</x:v>
      </x:c>
      <x:c r="M466" s="19" t="n">
        <x:f>(E466-F466)*G466*(1-I466)</x:f>
        <x:v>60</x:v>
      </x:c>
      <x:c r="N466" s="19" t="n">
        <x:f>(E466-F466)*H466</x:f>
        <x:v>24</x:v>
      </x:c>
      <x:c r="O466" s="19" t="n">
        <x:f>F466*J466</x:f>
        <x:v>0</x:v>
      </x:c>
      <x:c r="P466" s="19" t="n">
        <x:f>M466-N466-O466</x:f>
        <x:v>36</x:v>
      </x:c>
    </x:row>
    <x:row r="467">
      <x:c r="A467" s="15" t="str">
        <x:v>SIM-0463</x:v>
      </x:c>
      <x:c r="B467" s="15" t="str">
        <x:v>2026-03</x:v>
      </x:c>
      <x:c r="C467" s="15" t="str">
        <x:v>Calzado</x:v>
      </x:c>
      <x:c r="D467" s="15" t="str">
        <x:v>Online</x:v>
      </x:c>
      <x:c r="E467" s="15" t="n">
        <x:v>1</x:v>
      </x:c>
      <x:c r="F467" s="15" t="n">
        <x:v>0</x:v>
      </x:c>
      <x:c r="G467" s="19" t="n">
        <x:v>90</x:v>
      </x:c>
      <x:c r="H467" s="19" t="n">
        <x:v>42</x:v>
      </x:c>
      <x:c r="I467" s="17" t="n">
        <x:v>0.2</x:v>
      </x:c>
      <x:c r="J467" s="19" t="n">
        <x:v>6</x:v>
      </x:c>
      <x:c r="K467" s="19" t="n">
        <x:f>E467*G467</x:f>
        <x:v>90</x:v>
      </x:c>
      <x:c r="L467" s="19" t="n">
        <x:f>K467*I467</x:f>
        <x:v>18</x:v>
      </x:c>
      <x:c r="M467" s="19" t="n">
        <x:f>(E467-F467)*G467*(1-I467)</x:f>
        <x:v>72</x:v>
      </x:c>
      <x:c r="N467" s="19" t="n">
        <x:f>(E467-F467)*H467</x:f>
        <x:v>42</x:v>
      </x:c>
      <x:c r="O467" s="19" t="n">
        <x:f>F467*J467</x:f>
        <x:v>0</x:v>
      </x:c>
      <x:c r="P467" s="19" t="n">
        <x:f>M467-N467-O467</x:f>
        <x:v>30</x:v>
      </x:c>
    </x:row>
    <x:row r="468">
      <x:c r="A468" s="15" t="str">
        <x:v>SIM-0464</x:v>
      </x:c>
      <x:c r="B468" s="15" t="str">
        <x:v>2026-03</x:v>
      </x:c>
      <x:c r="C468" s="15" t="str">
        <x:v>Accesorios</x:v>
      </x:c>
      <x:c r="D468" s="15" t="str">
        <x:v>Online</x:v>
      </x:c>
      <x:c r="E468" s="15" t="n">
        <x:v>1</x:v>
      </x:c>
      <x:c r="F468" s="15" t="n">
        <x:v>0</x:v>
      </x:c>
      <x:c r="G468" s="19" t="n">
        <x:v>30</x:v>
      </x:c>
      <x:c r="H468" s="19" t="n">
        <x:v>9</x:v>
      </x:c>
      <x:c r="I468" s="17" t="n">
        <x:v>0</x:v>
      </x:c>
      <x:c r="J468" s="19" t="n">
        <x:v>6</x:v>
      </x:c>
      <x:c r="K468" s="19" t="n">
        <x:f>E468*G468</x:f>
        <x:v>30</x:v>
      </x:c>
      <x:c r="L468" s="19" t="n">
        <x:f>K468*I468</x:f>
        <x:v>0</x:v>
      </x:c>
      <x:c r="M468" s="19" t="n">
        <x:f>(E468-F468)*G468*(1-I468)</x:f>
        <x:v>30</x:v>
      </x:c>
      <x:c r="N468" s="19" t="n">
        <x:f>(E468-F468)*H468</x:f>
        <x:v>9</x:v>
      </x:c>
      <x:c r="O468" s="19" t="n">
        <x:f>F468*J468</x:f>
        <x:v>0</x:v>
      </x:c>
      <x:c r="P468" s="19" t="n">
        <x:f>M468-N468-O468</x:f>
        <x:v>21</x:v>
      </x:c>
    </x:row>
    <x:row r="469">
      <x:c r="A469" s="15" t="str">
        <x:v>SIM-0465</x:v>
      </x:c>
      <x:c r="B469" s="15" t="str">
        <x:v>2026-03</x:v>
      </x:c>
      <x:c r="C469" s="15" t="str">
        <x:v>Prendas</x:v>
      </x:c>
      <x:c r="D469" s="15" t="str">
        <x:v>Tienda</x:v>
      </x:c>
      <x:c r="E469" s="15" t="n">
        <x:v>2</x:v>
      </x:c>
      <x:c r="F469" s="15" t="n">
        <x:v>0</x:v>
      </x:c>
      <x:c r="G469" s="19" t="n">
        <x:v>60</x:v>
      </x:c>
      <x:c r="H469" s="19" t="n">
        <x:v>24</x:v>
      </x:c>
      <x:c r="I469" s="17" t="n">
        <x:v>0</x:v>
      </x:c>
      <x:c r="J469" s="19" t="n">
        <x:v>2</x:v>
      </x:c>
      <x:c r="K469" s="19" t="n">
        <x:f>E469*G469</x:f>
        <x:v>120</x:v>
      </x:c>
      <x:c r="L469" s="19" t="n">
        <x:f>K469*I469</x:f>
        <x:v>0</x:v>
      </x:c>
      <x:c r="M469" s="19" t="n">
        <x:f>(E469-F469)*G469*(1-I469)</x:f>
        <x:v>120</x:v>
      </x:c>
      <x:c r="N469" s="19" t="n">
        <x:f>(E469-F469)*H469</x:f>
        <x:v>48</x:v>
      </x:c>
      <x:c r="O469" s="19" t="n">
        <x:f>F469*J469</x:f>
        <x:v>0</x:v>
      </x:c>
      <x:c r="P469" s="19" t="n">
        <x:f>M469-N469-O469</x:f>
        <x:v>72</x:v>
      </x:c>
    </x:row>
    <x:row r="470">
      <x:c r="A470" s="15" t="str">
        <x:v>SIM-0466</x:v>
      </x:c>
      <x:c r="B470" s="15" t="str">
        <x:v>2026-03</x:v>
      </x:c>
      <x:c r="C470" s="15" t="str">
        <x:v>Prendas</x:v>
      </x:c>
      <x:c r="D470" s="15" t="str">
        <x:v>Tienda</x:v>
      </x:c>
      <x:c r="E470" s="15" t="n">
        <x:v>1</x:v>
      </x:c>
      <x:c r="F470" s="15" t="n">
        <x:v>0</x:v>
      </x:c>
      <x:c r="G470" s="19" t="n">
        <x:v>60</x:v>
      </x:c>
      <x:c r="H470" s="19" t="n">
        <x:v>24</x:v>
      </x:c>
      <x:c r="I470" s="17" t="n">
        <x:v>0.3</x:v>
      </x:c>
      <x:c r="J470" s="19" t="n">
        <x:v>2</x:v>
      </x:c>
      <x:c r="K470" s="19" t="n">
        <x:f>E470*G470</x:f>
        <x:v>60</x:v>
      </x:c>
      <x:c r="L470" s="19" t="n">
        <x:f>K470*I470</x:f>
        <x:v>18</x:v>
      </x:c>
      <x:c r="M470" s="19" t="n">
        <x:f>(E470-F470)*G470*(1-I470)</x:f>
        <x:v>42</x:v>
      </x:c>
      <x:c r="N470" s="19" t="n">
        <x:f>(E470-F470)*H470</x:f>
        <x:v>24</x:v>
      </x:c>
      <x:c r="O470" s="19" t="n">
        <x:f>F470*J470</x:f>
        <x:v>0</x:v>
      </x:c>
      <x:c r="P470" s="19" t="n">
        <x:f>M470-N470-O470</x:f>
        <x:v>18</x:v>
      </x:c>
    </x:row>
    <x:row r="471">
      <x:c r="A471" s="15" t="str">
        <x:v>SIM-0467</x:v>
      </x:c>
      <x:c r="B471" s="15" t="str">
        <x:v>2026-03</x:v>
      </x:c>
      <x:c r="C471" s="15" t="str">
        <x:v>Calzado</x:v>
      </x:c>
      <x:c r="D471" s="15" t="str">
        <x:v>Tienda</x:v>
      </x:c>
      <x:c r="E471" s="15" t="n">
        <x:v>1</x:v>
      </x:c>
      <x:c r="F471" s="15" t="n">
        <x:v>0</x:v>
      </x:c>
      <x:c r="G471" s="19" t="n">
        <x:v>90</x:v>
      </x:c>
      <x:c r="H471" s="19" t="n">
        <x:v>42</x:v>
      </x:c>
      <x:c r="I471" s="17" t="n">
        <x:v>0</x:v>
      </x:c>
      <x:c r="J471" s="19" t="n">
        <x:v>2</x:v>
      </x:c>
      <x:c r="K471" s="19" t="n">
        <x:f>E471*G471</x:f>
        <x:v>90</x:v>
      </x:c>
      <x:c r="L471" s="19" t="n">
        <x:f>K471*I471</x:f>
        <x:v>0</x:v>
      </x:c>
      <x:c r="M471" s="19" t="n">
        <x:f>(E471-F471)*G471*(1-I471)</x:f>
        <x:v>90</x:v>
      </x:c>
      <x:c r="N471" s="19" t="n">
        <x:f>(E471-F471)*H471</x:f>
        <x:v>42</x:v>
      </x:c>
      <x:c r="O471" s="19" t="n">
        <x:f>F471*J471</x:f>
        <x:v>0</x:v>
      </x:c>
      <x:c r="P471" s="19" t="n">
        <x:f>M471-N471-O471</x:f>
        <x:v>48</x:v>
      </x:c>
    </x:row>
    <x:row r="472">
      <x:c r="A472" s="15" t="str">
        <x:v>SIM-0468</x:v>
      </x:c>
      <x:c r="B472" s="15" t="str">
        <x:v>2026-03</x:v>
      </x:c>
      <x:c r="C472" s="15" t="str">
        <x:v>Accesorios</x:v>
      </x:c>
      <x:c r="D472" s="15" t="str">
        <x:v>Tienda</x:v>
      </x:c>
      <x:c r="E472" s="15" t="n">
        <x:v>1</x:v>
      </x:c>
      <x:c r="F472" s="15" t="n">
        <x:v>0</x:v>
      </x:c>
      <x:c r="G472" s="19" t="n">
        <x:v>30</x:v>
      </x:c>
      <x:c r="H472" s="19" t="n">
        <x:v>9</x:v>
      </x:c>
      <x:c r="I472" s="17" t="n">
        <x:v>0</x:v>
      </x:c>
      <x:c r="J472" s="19" t="n">
        <x:v>2</x:v>
      </x:c>
      <x:c r="K472" s="19" t="n">
        <x:f>E472*G472</x:f>
        <x:v>30</x:v>
      </x:c>
      <x:c r="L472" s="19" t="n">
        <x:f>K472*I472</x:f>
        <x:v>0</x:v>
      </x:c>
      <x:c r="M472" s="19" t="n">
        <x:f>(E472-F472)*G472*(1-I472)</x:f>
        <x:v>30</x:v>
      </x:c>
      <x:c r="N472" s="19" t="n">
        <x:f>(E472-F472)*H472</x:f>
        <x:v>9</x:v>
      </x:c>
      <x:c r="O472" s="19" t="n">
        <x:f>F472*J472</x:f>
        <x:v>0</x:v>
      </x:c>
      <x:c r="P472" s="19" t="n">
        <x:f>M472-N472-O472</x:f>
        <x:v>21</x:v>
      </x:c>
    </x:row>
    <x:row r="473">
      <x:c r="A473" s="15" t="str">
        <x:v>SIM-0469</x:v>
      </x:c>
      <x:c r="B473" s="15" t="str">
        <x:v>2026-03</x:v>
      </x:c>
      <x:c r="C473" s="15" t="str">
        <x:v>Accesorios</x:v>
      </x:c>
      <x:c r="D473" s="15" t="str">
        <x:v>Tienda</x:v>
      </x:c>
      <x:c r="E473" s="15" t="n">
        <x:v>3</x:v>
      </x:c>
      <x:c r="F473" s="15" t="n">
        <x:v>0</x:v>
      </x:c>
      <x:c r="G473" s="19" t="n">
        <x:v>30</x:v>
      </x:c>
      <x:c r="H473" s="19" t="n">
        <x:v>9</x:v>
      </x:c>
      <x:c r="I473" s="17" t="n">
        <x:v>0</x:v>
      </x:c>
      <x:c r="J473" s="19" t="n">
        <x:v>2</x:v>
      </x:c>
      <x:c r="K473" s="19" t="n">
        <x:f>E473*G473</x:f>
        <x:v>90</x:v>
      </x:c>
      <x:c r="L473" s="19" t="n">
        <x:f>K473*I473</x:f>
        <x:v>0</x:v>
      </x:c>
      <x:c r="M473" s="19" t="n">
        <x:f>(E473-F473)*G473*(1-I473)</x:f>
        <x:v>90</x:v>
      </x:c>
      <x:c r="N473" s="19" t="n">
        <x:f>(E473-F473)*H473</x:f>
        <x:v>27</x:v>
      </x:c>
      <x:c r="O473" s="19" t="n">
        <x:f>F473*J473</x:f>
        <x:v>0</x:v>
      </x:c>
      <x:c r="P473" s="19" t="n">
        <x:f>M473-N473-O473</x:f>
        <x:v>63</x:v>
      </x:c>
    </x:row>
    <x:row r="474">
      <x:c r="A474" s="15" t="str">
        <x:v>SIM-0470</x:v>
      </x:c>
      <x:c r="B474" s="15" t="str">
        <x:v>2026-03</x:v>
      </x:c>
      <x:c r="C474" s="15" t="str">
        <x:v>Prendas</x:v>
      </x:c>
      <x:c r="D474" s="15" t="str">
        <x:v>Tienda</x:v>
      </x:c>
      <x:c r="E474" s="15" t="n">
        <x:v>1</x:v>
      </x:c>
      <x:c r="F474" s="15" t="n">
        <x:v>0</x:v>
      </x:c>
      <x:c r="G474" s="19" t="n">
        <x:v>60</x:v>
      </x:c>
      <x:c r="H474" s="19" t="n">
        <x:v>24</x:v>
      </x:c>
      <x:c r="I474" s="17" t="n">
        <x:v>0.1</x:v>
      </x:c>
      <x:c r="J474" s="19" t="n">
        <x:v>2</x:v>
      </x:c>
      <x:c r="K474" s="19" t="n">
        <x:f>E474*G474</x:f>
        <x:v>60</x:v>
      </x:c>
      <x:c r="L474" s="19" t="n">
        <x:f>K474*I474</x:f>
        <x:v>6</x:v>
      </x:c>
      <x:c r="M474" s="19" t="n">
        <x:f>(E474-F474)*G474*(1-I474)</x:f>
        <x:v>54</x:v>
      </x:c>
      <x:c r="N474" s="19" t="n">
        <x:f>(E474-F474)*H474</x:f>
        <x:v>24</x:v>
      </x:c>
      <x:c r="O474" s="19" t="n">
        <x:f>F474*J474</x:f>
        <x:v>0</x:v>
      </x:c>
      <x:c r="P474" s="19" t="n">
        <x:f>M474-N474-O474</x:f>
        <x:v>30</x:v>
      </x:c>
    </x:row>
    <x:row r="475">
      <x:c r="A475" s="15" t="str">
        <x:v>SIM-0471</x:v>
      </x:c>
      <x:c r="B475" s="15" t="str">
        <x:v>2026-03</x:v>
      </x:c>
      <x:c r="C475" s="15" t="str">
        <x:v>Accesorios</x:v>
      </x:c>
      <x:c r="D475" s="15" t="str">
        <x:v>Tienda</x:v>
      </x:c>
      <x:c r="E475" s="15" t="n">
        <x:v>1</x:v>
      </x:c>
      <x:c r="F475" s="15" t="n">
        <x:v>0</x:v>
      </x:c>
      <x:c r="G475" s="19" t="n">
        <x:v>30</x:v>
      </x:c>
      <x:c r="H475" s="19" t="n">
        <x:v>9</x:v>
      </x:c>
      <x:c r="I475" s="17" t="n">
        <x:v>0.2</x:v>
      </x:c>
      <x:c r="J475" s="19" t="n">
        <x:v>2</x:v>
      </x:c>
      <x:c r="K475" s="19" t="n">
        <x:f>E475*G475</x:f>
        <x:v>30</x:v>
      </x:c>
      <x:c r="L475" s="19" t="n">
        <x:f>K475*I475</x:f>
        <x:v>6</x:v>
      </x:c>
      <x:c r="M475" s="19" t="n">
        <x:f>(E475-F475)*G475*(1-I475)</x:f>
        <x:v>24</x:v>
      </x:c>
      <x:c r="N475" s="19" t="n">
        <x:f>(E475-F475)*H475</x:f>
        <x:v>9</x:v>
      </x:c>
      <x:c r="O475" s="19" t="n">
        <x:f>F475*J475</x:f>
        <x:v>0</x:v>
      </x:c>
      <x:c r="P475" s="19" t="n">
        <x:f>M475-N475-O475</x:f>
        <x:v>15</x:v>
      </x:c>
    </x:row>
    <x:row r="476">
      <x:c r="A476" s="15" t="str">
        <x:v>SIM-0472</x:v>
      </x:c>
      <x:c r="B476" s="15" t="str">
        <x:v>2026-03</x:v>
      </x:c>
      <x:c r="C476" s="15" t="str">
        <x:v>Prendas</x:v>
      </x:c>
      <x:c r="D476" s="15" t="str">
        <x:v>Tienda</x:v>
      </x:c>
      <x:c r="E476" s="15" t="n">
        <x:v>1</x:v>
      </x:c>
      <x:c r="F476" s="15" t="n">
        <x:v>1</x:v>
      </x:c>
      <x:c r="G476" s="19" t="n">
        <x:v>60</x:v>
      </x:c>
      <x:c r="H476" s="19" t="n">
        <x:v>24</x:v>
      </x:c>
      <x:c r="I476" s="17" t="n">
        <x:v>0</x:v>
      </x:c>
      <x:c r="J476" s="19" t="n">
        <x:v>2</x:v>
      </x:c>
      <x:c r="K476" s="19" t="n">
        <x:f>E476*G476</x:f>
        <x:v>60</x:v>
      </x:c>
      <x:c r="L476" s="19" t="n">
        <x:f>K476*I476</x:f>
        <x:v>0</x:v>
      </x:c>
      <x:c r="M476" s="19" t="n">
        <x:f>(E476-F476)*G476*(1-I476)</x:f>
        <x:v>0</x:v>
      </x:c>
      <x:c r="N476" s="19" t="n">
        <x:f>(E476-F476)*H476</x:f>
        <x:v>0</x:v>
      </x:c>
      <x:c r="O476" s="19" t="n">
        <x:f>F476*J476</x:f>
        <x:v>2</x:v>
      </x:c>
      <x:c r="P476" s="19" t="n">
        <x:f>M476-N476-O476</x:f>
        <x:v>-2</x:v>
      </x:c>
    </x:row>
    <x:row r="477">
      <x:c r="A477" s="15" t="str">
        <x:v>SIM-0473</x:v>
      </x:c>
      <x:c r="B477" s="15" t="str">
        <x:v>2026-03</x:v>
      </x:c>
      <x:c r="C477" s="15" t="str">
        <x:v>Calzado</x:v>
      </x:c>
      <x:c r="D477" s="15" t="str">
        <x:v>Online</x:v>
      </x:c>
      <x:c r="E477" s="15" t="n">
        <x:v>3</x:v>
      </x:c>
      <x:c r="F477" s="15" t="n">
        <x:v>0</x:v>
      </x:c>
      <x:c r="G477" s="19" t="n">
        <x:v>90</x:v>
      </x:c>
      <x:c r="H477" s="19" t="n">
        <x:v>42</x:v>
      </x:c>
      <x:c r="I477" s="17" t="n">
        <x:v>0.1</x:v>
      </x:c>
      <x:c r="J477" s="19" t="n">
        <x:v>6</x:v>
      </x:c>
      <x:c r="K477" s="19" t="n">
        <x:f>E477*G477</x:f>
        <x:v>270</x:v>
      </x:c>
      <x:c r="L477" s="19" t="n">
        <x:f>K477*I477</x:f>
        <x:v>27</x:v>
      </x:c>
      <x:c r="M477" s="19" t="n">
        <x:f>(E477-F477)*G477*(1-I477)</x:f>
        <x:v>243</x:v>
      </x:c>
      <x:c r="N477" s="19" t="n">
        <x:f>(E477-F477)*H477</x:f>
        <x:v>126</x:v>
      </x:c>
      <x:c r="O477" s="19" t="n">
        <x:f>F477*J477</x:f>
        <x:v>0</x:v>
      </x:c>
      <x:c r="P477" s="19" t="n">
        <x:f>M477-N477-O477</x:f>
        <x:v>117</x:v>
      </x:c>
    </x:row>
    <x:row r="478">
      <x:c r="A478" s="15" t="str">
        <x:v>SIM-0474</x:v>
      </x:c>
      <x:c r="B478" s="15" t="str">
        <x:v>2026-03</x:v>
      </x:c>
      <x:c r="C478" s="15" t="str">
        <x:v>Calzado</x:v>
      </x:c>
      <x:c r="D478" s="15" t="str">
        <x:v>Tienda</x:v>
      </x:c>
      <x:c r="E478" s="15" t="n">
        <x:v>2</x:v>
      </x:c>
      <x:c r="F478" s="15" t="n">
        <x:v>0</x:v>
      </x:c>
      <x:c r="G478" s="19" t="n">
        <x:v>90</x:v>
      </x:c>
      <x:c r="H478" s="19" t="n">
        <x:v>42</x:v>
      </x:c>
      <x:c r="I478" s="17" t="n">
        <x:v>0.1</x:v>
      </x:c>
      <x:c r="J478" s="19" t="n">
        <x:v>2</x:v>
      </x:c>
      <x:c r="K478" s="19" t="n">
        <x:f>E478*G478</x:f>
        <x:v>180</x:v>
      </x:c>
      <x:c r="L478" s="19" t="n">
        <x:f>K478*I478</x:f>
        <x:v>18</x:v>
      </x:c>
      <x:c r="M478" s="19" t="n">
        <x:f>(E478-F478)*G478*(1-I478)</x:f>
        <x:v>162</x:v>
      </x:c>
      <x:c r="N478" s="19" t="n">
        <x:f>(E478-F478)*H478</x:f>
        <x:v>84</x:v>
      </x:c>
      <x:c r="O478" s="19" t="n">
        <x:f>F478*J478</x:f>
        <x:v>0</x:v>
      </x:c>
      <x:c r="P478" s="19" t="n">
        <x:f>M478-N478-O478</x:f>
        <x:v>78</x:v>
      </x:c>
    </x:row>
    <x:row r="479">
      <x:c r="A479" s="15" t="str">
        <x:v>SIM-0475</x:v>
      </x:c>
      <x:c r="B479" s="15" t="str">
        <x:v>2026-03</x:v>
      </x:c>
      <x:c r="C479" s="15" t="str">
        <x:v>Prendas</x:v>
      </x:c>
      <x:c r="D479" s="15" t="str">
        <x:v>Tienda</x:v>
      </x:c>
      <x:c r="E479" s="15" t="n">
        <x:v>1</x:v>
      </x:c>
      <x:c r="F479" s="15" t="n">
        <x:v>0</x:v>
      </x:c>
      <x:c r="G479" s="19" t="n">
        <x:v>60</x:v>
      </x:c>
      <x:c r="H479" s="19" t="n">
        <x:v>24</x:v>
      </x:c>
      <x:c r="I479" s="17" t="n">
        <x:v>0.1</x:v>
      </x:c>
      <x:c r="J479" s="19" t="n">
        <x:v>2</x:v>
      </x:c>
      <x:c r="K479" s="19" t="n">
        <x:f>E479*G479</x:f>
        <x:v>60</x:v>
      </x:c>
      <x:c r="L479" s="19" t="n">
        <x:f>K479*I479</x:f>
        <x:v>6</x:v>
      </x:c>
      <x:c r="M479" s="19" t="n">
        <x:f>(E479-F479)*G479*(1-I479)</x:f>
        <x:v>54</x:v>
      </x:c>
      <x:c r="N479" s="19" t="n">
        <x:f>(E479-F479)*H479</x:f>
        <x:v>24</x:v>
      </x:c>
      <x:c r="O479" s="19" t="n">
        <x:f>F479*J479</x:f>
        <x:v>0</x:v>
      </x:c>
      <x:c r="P479" s="19" t="n">
        <x:f>M479-N479-O479</x:f>
        <x:v>30</x:v>
      </x:c>
    </x:row>
    <x:row r="480">
      <x:c r="A480" s="15" t="str">
        <x:v>SIM-0476</x:v>
      </x:c>
      <x:c r="B480" s="15" t="str">
        <x:v>2026-03</x:v>
      </x:c>
      <x:c r="C480" s="15" t="str">
        <x:v>Accesorios</x:v>
      </x:c>
      <x:c r="D480" s="15" t="str">
        <x:v>Online</x:v>
      </x:c>
      <x:c r="E480" s="15" t="n">
        <x:v>1</x:v>
      </x:c>
      <x:c r="F480" s="15" t="n">
        <x:v>0</x:v>
      </x:c>
      <x:c r="G480" s="19" t="n">
        <x:v>30</x:v>
      </x:c>
      <x:c r="H480" s="19" t="n">
        <x:v>9</x:v>
      </x:c>
      <x:c r="I480" s="17" t="n">
        <x:v>0.1</x:v>
      </x:c>
      <x:c r="J480" s="19" t="n">
        <x:v>6</x:v>
      </x:c>
      <x:c r="K480" s="19" t="n">
        <x:f>E480*G480</x:f>
        <x:v>30</x:v>
      </x:c>
      <x:c r="L480" s="19" t="n">
        <x:f>K480*I480</x:f>
        <x:v>3</x:v>
      </x:c>
      <x:c r="M480" s="19" t="n">
        <x:f>(E480-F480)*G480*(1-I480)</x:f>
        <x:v>27</x:v>
      </x:c>
      <x:c r="N480" s="19" t="n">
        <x:f>(E480-F480)*H480</x:f>
        <x:v>9</x:v>
      </x:c>
      <x:c r="O480" s="19" t="n">
        <x:f>F480*J480</x:f>
        <x:v>0</x:v>
      </x:c>
      <x:c r="P480" s="19" t="n">
        <x:f>M480-N480-O480</x:f>
        <x:v>18</x:v>
      </x:c>
    </x:row>
    <x:row r="481">
      <x:c r="A481" s="15" t="str">
        <x:v>SIM-0477</x:v>
      </x:c>
      <x:c r="B481" s="15" t="str">
        <x:v>2026-03</x:v>
      </x:c>
      <x:c r="C481" s="15" t="str">
        <x:v>Calzado</x:v>
      </x:c>
      <x:c r="D481" s="15" t="str">
        <x:v>Online</x:v>
      </x:c>
      <x:c r="E481" s="15" t="n">
        <x:v>1</x:v>
      </x:c>
      <x:c r="F481" s="15" t="n">
        <x:v>0</x:v>
      </x:c>
      <x:c r="G481" s="19" t="n">
        <x:v>90</x:v>
      </x:c>
      <x:c r="H481" s="19" t="n">
        <x:v>42</x:v>
      </x:c>
      <x:c r="I481" s="17" t="n">
        <x:v>0.1</x:v>
      </x:c>
      <x:c r="J481" s="19" t="n">
        <x:v>6</x:v>
      </x:c>
      <x:c r="K481" s="19" t="n">
        <x:f>E481*G481</x:f>
        <x:v>90</x:v>
      </x:c>
      <x:c r="L481" s="19" t="n">
        <x:f>K481*I481</x:f>
        <x:v>9</x:v>
      </x:c>
      <x:c r="M481" s="19" t="n">
        <x:f>(E481-F481)*G481*(1-I481)</x:f>
        <x:v>81</x:v>
      </x:c>
      <x:c r="N481" s="19" t="n">
        <x:f>(E481-F481)*H481</x:f>
        <x:v>42</x:v>
      </x:c>
      <x:c r="O481" s="19" t="n">
        <x:f>F481*J481</x:f>
        <x:v>0</x:v>
      </x:c>
      <x:c r="P481" s="19" t="n">
        <x:f>M481-N481-O481</x:f>
        <x:v>39</x:v>
      </x:c>
    </x:row>
    <x:row r="482">
      <x:c r="A482" s="15" t="str">
        <x:v>SIM-0478</x:v>
      </x:c>
      <x:c r="B482" s="15" t="str">
        <x:v>2026-03</x:v>
      </x:c>
      <x:c r="C482" s="15" t="str">
        <x:v>Calzado</x:v>
      </x:c>
      <x:c r="D482" s="15" t="str">
        <x:v>Online</x:v>
      </x:c>
      <x:c r="E482" s="15" t="n">
        <x:v>1</x:v>
      </x:c>
      <x:c r="F482" s="15" t="n">
        <x:v>0</x:v>
      </x:c>
      <x:c r="G482" s="19" t="n">
        <x:v>90</x:v>
      </x:c>
      <x:c r="H482" s="19" t="n">
        <x:v>42</x:v>
      </x:c>
      <x:c r="I482" s="17" t="n">
        <x:v>0.1</x:v>
      </x:c>
      <x:c r="J482" s="19" t="n">
        <x:v>6</x:v>
      </x:c>
      <x:c r="K482" s="19" t="n">
        <x:f>E482*G482</x:f>
        <x:v>90</x:v>
      </x:c>
      <x:c r="L482" s="19" t="n">
        <x:f>K482*I482</x:f>
        <x:v>9</x:v>
      </x:c>
      <x:c r="M482" s="19" t="n">
        <x:f>(E482-F482)*G482*(1-I482)</x:f>
        <x:v>81</x:v>
      </x:c>
      <x:c r="N482" s="19" t="n">
        <x:f>(E482-F482)*H482</x:f>
        <x:v>42</x:v>
      </x:c>
      <x:c r="O482" s="19" t="n">
        <x:f>F482*J482</x:f>
        <x:v>0</x:v>
      </x:c>
      <x:c r="P482" s="19" t="n">
        <x:f>M482-N482-O482</x:f>
        <x:v>39</x:v>
      </x:c>
    </x:row>
    <x:row r="483">
      <x:c r="A483" s="15" t="str">
        <x:v>SIM-0479</x:v>
      </x:c>
      <x:c r="B483" s="15" t="str">
        <x:v>2026-03</x:v>
      </x:c>
      <x:c r="C483" s="15" t="str">
        <x:v>Prendas</x:v>
      </x:c>
      <x:c r="D483" s="15" t="str">
        <x:v>Online</x:v>
      </x:c>
      <x:c r="E483" s="15" t="n">
        <x:v>1</x:v>
      </x:c>
      <x:c r="F483" s="15" t="n">
        <x:v>0</x:v>
      </x:c>
      <x:c r="G483" s="19" t="n">
        <x:v>60</x:v>
      </x:c>
      <x:c r="H483" s="19" t="n">
        <x:v>24</x:v>
      </x:c>
      <x:c r="I483" s="17" t="n">
        <x:v>0.1</x:v>
      </x:c>
      <x:c r="J483" s="19" t="n">
        <x:v>6</x:v>
      </x:c>
      <x:c r="K483" s="19" t="n">
        <x:f>E483*G483</x:f>
        <x:v>60</x:v>
      </x:c>
      <x:c r="L483" s="19" t="n">
        <x:f>K483*I483</x:f>
        <x:v>6</x:v>
      </x:c>
      <x:c r="M483" s="19" t="n">
        <x:f>(E483-F483)*G483*(1-I483)</x:f>
        <x:v>54</x:v>
      </x:c>
      <x:c r="N483" s="19" t="n">
        <x:f>(E483-F483)*H483</x:f>
        <x:v>24</x:v>
      </x:c>
      <x:c r="O483" s="19" t="n">
        <x:f>F483*J483</x:f>
        <x:v>0</x:v>
      </x:c>
      <x:c r="P483" s="19" t="n">
        <x:f>M483-N483-O483</x:f>
        <x:v>30</x:v>
      </x:c>
    </x:row>
    <x:row r="484">
      <x:c r="A484" s="15" t="str">
        <x:v>SIM-0480</x:v>
      </x:c>
      <x:c r="B484" s="15" t="str">
        <x:v>2026-03</x:v>
      </x:c>
      <x:c r="C484" s="15" t="str">
        <x:v>Prendas</x:v>
      </x:c>
      <x:c r="D484" s="15" t="str">
        <x:v>Tienda</x:v>
      </x:c>
      <x:c r="E484" s="15" t="n">
        <x:v>1</x:v>
      </x:c>
      <x:c r="F484" s="15" t="n">
        <x:v>0</x:v>
      </x:c>
      <x:c r="G484" s="19" t="n">
        <x:v>60</x:v>
      </x:c>
      <x:c r="H484" s="19" t="n">
        <x:v>24</x:v>
      </x:c>
      <x:c r="I484" s="17" t="n">
        <x:v>0.2</x:v>
      </x:c>
      <x:c r="J484" s="19" t="n">
        <x:v>2</x:v>
      </x:c>
      <x:c r="K484" s="19" t="n">
        <x:f>E484*G484</x:f>
        <x:v>60</x:v>
      </x:c>
      <x:c r="L484" s="19" t="n">
        <x:f>K484*I484</x:f>
        <x:v>12</x:v>
      </x:c>
      <x:c r="M484" s="19" t="n">
        <x:f>(E484-F484)*G484*(1-I484)</x:f>
        <x:v>48</x:v>
      </x:c>
      <x:c r="N484" s="19" t="n">
        <x:f>(E484-F484)*H484</x:f>
        <x:v>24</x:v>
      </x:c>
      <x:c r="O484" s="19" t="n">
        <x:f>F484*J484</x:f>
        <x:v>0</x:v>
      </x:c>
      <x:c r="P484" s="19" t="n">
        <x:f>M484-N484-O484</x:f>
        <x:v>24</x:v>
      </x:c>
    </x:row>
    <x:row r="485">
      <x:c r="A485" s="15" t="str">
        <x:v>SIM-0481</x:v>
      </x:c>
      <x:c r="B485" s="15" t="str">
        <x:v>2026-03</x:v>
      </x:c>
      <x:c r="C485" s="15" t="str">
        <x:v>Prendas</x:v>
      </x:c>
      <x:c r="D485" s="15" t="str">
        <x:v>Tienda</x:v>
      </x:c>
      <x:c r="E485" s="15" t="n">
        <x:v>1</x:v>
      </x:c>
      <x:c r="F485" s="15" t="n">
        <x:v>0</x:v>
      </x:c>
      <x:c r="G485" s="19" t="n">
        <x:v>60</x:v>
      </x:c>
      <x:c r="H485" s="19" t="n">
        <x:v>24</x:v>
      </x:c>
      <x:c r="I485" s="17" t="n">
        <x:v>0.2</x:v>
      </x:c>
      <x:c r="J485" s="19" t="n">
        <x:v>2</x:v>
      </x:c>
      <x:c r="K485" s="19" t="n">
        <x:f>E485*G485</x:f>
        <x:v>60</x:v>
      </x:c>
      <x:c r="L485" s="19" t="n">
        <x:f>K485*I485</x:f>
        <x:v>12</x:v>
      </x:c>
      <x:c r="M485" s="19" t="n">
        <x:f>(E485-F485)*G485*(1-I485)</x:f>
        <x:v>48</x:v>
      </x:c>
      <x:c r="N485" s="19" t="n">
        <x:f>(E485-F485)*H485</x:f>
        <x:v>24</x:v>
      </x:c>
      <x:c r="O485" s="19" t="n">
        <x:f>F485*J485</x:f>
        <x:v>0</x:v>
      </x:c>
      <x:c r="P485" s="19" t="n">
        <x:f>M485-N485-O485</x:f>
        <x:v>24</x:v>
      </x:c>
    </x:row>
    <x:row r="486">
      <x:c r="A486" s="15" t="str">
        <x:v>SIM-0482</x:v>
      </x:c>
      <x:c r="B486" s="15" t="str">
        <x:v>2026-03</x:v>
      </x:c>
      <x:c r="C486" s="15" t="str">
        <x:v>Accesorios</x:v>
      </x:c>
      <x:c r="D486" s="15" t="str">
        <x:v>Online</x:v>
      </x:c>
      <x:c r="E486" s="15" t="n">
        <x:v>2</x:v>
      </x:c>
      <x:c r="F486" s="15" t="n">
        <x:v>0</x:v>
      </x:c>
      <x:c r="G486" s="19" t="n">
        <x:v>30</x:v>
      </x:c>
      <x:c r="H486" s="19" t="n">
        <x:v>9</x:v>
      </x:c>
      <x:c r="I486" s="17" t="n">
        <x:v>0</x:v>
      </x:c>
      <x:c r="J486" s="19" t="n">
        <x:v>6</x:v>
      </x:c>
      <x:c r="K486" s="19" t="n">
        <x:f>E486*G486</x:f>
        <x:v>60</x:v>
      </x:c>
      <x:c r="L486" s="19" t="n">
        <x:f>K486*I486</x:f>
        <x:v>0</x:v>
      </x:c>
      <x:c r="M486" s="19" t="n">
        <x:f>(E486-F486)*G486*(1-I486)</x:f>
        <x:v>60</x:v>
      </x:c>
      <x:c r="N486" s="19" t="n">
        <x:f>(E486-F486)*H486</x:f>
        <x:v>18</x:v>
      </x:c>
      <x:c r="O486" s="19" t="n">
        <x:f>F486*J486</x:f>
        <x:v>0</x:v>
      </x:c>
      <x:c r="P486" s="19" t="n">
        <x:f>M486-N486-O486</x:f>
        <x:v>42</x:v>
      </x:c>
    </x:row>
    <x:row r="487">
      <x:c r="A487" s="15" t="str">
        <x:v>SIM-0483</x:v>
      </x:c>
      <x:c r="B487" s="15" t="str">
        <x:v>2026-03</x:v>
      </x:c>
      <x:c r="C487" s="15" t="str">
        <x:v>Accesorios</x:v>
      </x:c>
      <x:c r="D487" s="15" t="str">
        <x:v>Tienda</x:v>
      </x:c>
      <x:c r="E487" s="15" t="n">
        <x:v>1</x:v>
      </x:c>
      <x:c r="F487" s="15" t="n">
        <x:v>0</x:v>
      </x:c>
      <x:c r="G487" s="19" t="n">
        <x:v>30</x:v>
      </x:c>
      <x:c r="H487" s="19" t="n">
        <x:v>9</x:v>
      </x:c>
      <x:c r="I487" s="17" t="n">
        <x:v>0.1</x:v>
      </x:c>
      <x:c r="J487" s="19" t="n">
        <x:v>2</x:v>
      </x:c>
      <x:c r="K487" s="19" t="n">
        <x:f>E487*G487</x:f>
        <x:v>30</x:v>
      </x:c>
      <x:c r="L487" s="19" t="n">
        <x:f>K487*I487</x:f>
        <x:v>3</x:v>
      </x:c>
      <x:c r="M487" s="19" t="n">
        <x:f>(E487-F487)*G487*(1-I487)</x:f>
        <x:v>27</x:v>
      </x:c>
      <x:c r="N487" s="19" t="n">
        <x:f>(E487-F487)*H487</x:f>
        <x:v>9</x:v>
      </x:c>
      <x:c r="O487" s="19" t="n">
        <x:f>F487*J487</x:f>
        <x:v>0</x:v>
      </x:c>
      <x:c r="P487" s="19" t="n">
        <x:f>M487-N487-O487</x:f>
        <x:v>18</x:v>
      </x:c>
    </x:row>
    <x:row r="488">
      <x:c r="A488" s="15" t="str">
        <x:v>SIM-0484</x:v>
      </x:c>
      <x:c r="B488" s="15" t="str">
        <x:v>2026-03</x:v>
      </x:c>
      <x:c r="C488" s="15" t="str">
        <x:v>Prendas</x:v>
      </x:c>
      <x:c r="D488" s="15" t="str">
        <x:v>Online</x:v>
      </x:c>
      <x:c r="E488" s="15" t="n">
        <x:v>1</x:v>
      </x:c>
      <x:c r="F488" s="15" t="n">
        <x:v>0</x:v>
      </x:c>
      <x:c r="G488" s="19" t="n">
        <x:v>60</x:v>
      </x:c>
      <x:c r="H488" s="19" t="n">
        <x:v>24</x:v>
      </x:c>
      <x:c r="I488" s="17" t="n">
        <x:v>0</x:v>
      </x:c>
      <x:c r="J488" s="19" t="n">
        <x:v>6</x:v>
      </x:c>
      <x:c r="K488" s="19" t="n">
        <x:f>E488*G488</x:f>
        <x:v>60</x:v>
      </x:c>
      <x:c r="L488" s="19" t="n">
        <x:f>K488*I488</x:f>
        <x:v>0</x:v>
      </x:c>
      <x:c r="M488" s="19" t="n">
        <x:f>(E488-F488)*G488*(1-I488)</x:f>
        <x:v>60</x:v>
      </x:c>
      <x:c r="N488" s="19" t="n">
        <x:f>(E488-F488)*H488</x:f>
        <x:v>24</x:v>
      </x:c>
      <x:c r="O488" s="19" t="n">
        <x:f>F488*J488</x:f>
        <x:v>0</x:v>
      </x:c>
      <x:c r="P488" s="19" t="n">
        <x:f>M488-N488-O488</x:f>
        <x:v>36</x:v>
      </x:c>
    </x:row>
    <x:row r="489">
      <x:c r="A489" s="15" t="str">
        <x:v>SIM-0485</x:v>
      </x:c>
      <x:c r="B489" s="15" t="str">
        <x:v>2026-03</x:v>
      </x:c>
      <x:c r="C489" s="15" t="str">
        <x:v>Prendas</x:v>
      </x:c>
      <x:c r="D489" s="15" t="str">
        <x:v>Tienda</x:v>
      </x:c>
      <x:c r="E489" s="15" t="n">
        <x:v>1</x:v>
      </x:c>
      <x:c r="F489" s="15" t="n">
        <x:v>0</x:v>
      </x:c>
      <x:c r="G489" s="19" t="n">
        <x:v>60</x:v>
      </x:c>
      <x:c r="H489" s="19" t="n">
        <x:v>24</x:v>
      </x:c>
      <x:c r="I489" s="17" t="n">
        <x:v>0.1</x:v>
      </x:c>
      <x:c r="J489" s="19" t="n">
        <x:v>2</x:v>
      </x:c>
      <x:c r="K489" s="19" t="n">
        <x:f>E489*G489</x:f>
        <x:v>60</x:v>
      </x:c>
      <x:c r="L489" s="19" t="n">
        <x:f>K489*I489</x:f>
        <x:v>6</x:v>
      </x:c>
      <x:c r="M489" s="19" t="n">
        <x:f>(E489-F489)*G489*(1-I489)</x:f>
        <x:v>54</x:v>
      </x:c>
      <x:c r="N489" s="19" t="n">
        <x:f>(E489-F489)*H489</x:f>
        <x:v>24</x:v>
      </x:c>
      <x:c r="O489" s="19" t="n">
        <x:f>F489*J489</x:f>
        <x:v>0</x:v>
      </x:c>
      <x:c r="P489" s="19" t="n">
        <x:f>M489-N489-O489</x:f>
        <x:v>30</x:v>
      </x:c>
    </x:row>
    <x:row r="490">
      <x:c r="A490" s="15" t="str">
        <x:v>SIM-0486</x:v>
      </x:c>
      <x:c r="B490" s="15" t="str">
        <x:v>2026-03</x:v>
      </x:c>
      <x:c r="C490" s="15" t="str">
        <x:v>Prendas</x:v>
      </x:c>
      <x:c r="D490" s="15" t="str">
        <x:v>Online</x:v>
      </x:c>
      <x:c r="E490" s="15" t="n">
        <x:v>1</x:v>
      </x:c>
      <x:c r="F490" s="15" t="n">
        <x:v>0</x:v>
      </x:c>
      <x:c r="G490" s="19" t="n">
        <x:v>60</x:v>
      </x:c>
      <x:c r="H490" s="19" t="n">
        <x:v>24</x:v>
      </x:c>
      <x:c r="I490" s="17" t="n">
        <x:v>0.3</x:v>
      </x:c>
      <x:c r="J490" s="19" t="n">
        <x:v>6</x:v>
      </x:c>
      <x:c r="K490" s="19" t="n">
        <x:f>E490*G490</x:f>
        <x:v>60</x:v>
      </x:c>
      <x:c r="L490" s="19" t="n">
        <x:f>K490*I490</x:f>
        <x:v>18</x:v>
      </x:c>
      <x:c r="M490" s="19" t="n">
        <x:f>(E490-F490)*G490*(1-I490)</x:f>
        <x:v>42</x:v>
      </x:c>
      <x:c r="N490" s="19" t="n">
        <x:f>(E490-F490)*H490</x:f>
        <x:v>24</x:v>
      </x:c>
      <x:c r="O490" s="19" t="n">
        <x:f>F490*J490</x:f>
        <x:v>0</x:v>
      </x:c>
      <x:c r="P490" s="19" t="n">
        <x:f>M490-N490-O490</x:f>
        <x:v>18</x:v>
      </x:c>
    </x:row>
    <x:row r="491">
      <x:c r="A491" s="15" t="str">
        <x:v>SIM-0487</x:v>
      </x:c>
      <x:c r="B491" s="15" t="str">
        <x:v>2026-03</x:v>
      </x:c>
      <x:c r="C491" s="15" t="str">
        <x:v>Prendas</x:v>
      </x:c>
      <x:c r="D491" s="15" t="str">
        <x:v>Online</x:v>
      </x:c>
      <x:c r="E491" s="15" t="n">
        <x:v>2</x:v>
      </x:c>
      <x:c r="F491" s="15" t="n">
        <x:v>0</x:v>
      </x:c>
      <x:c r="G491" s="19" t="n">
        <x:v>60</x:v>
      </x:c>
      <x:c r="H491" s="19" t="n">
        <x:v>24</x:v>
      </x:c>
      <x:c r="I491" s="17" t="n">
        <x:v>0.2</x:v>
      </x:c>
      <x:c r="J491" s="19" t="n">
        <x:v>6</x:v>
      </x:c>
      <x:c r="K491" s="19" t="n">
        <x:f>E491*G491</x:f>
        <x:v>120</x:v>
      </x:c>
      <x:c r="L491" s="19" t="n">
        <x:f>K491*I491</x:f>
        <x:v>24</x:v>
      </x:c>
      <x:c r="M491" s="19" t="n">
        <x:f>(E491-F491)*G491*(1-I491)</x:f>
        <x:v>96</x:v>
      </x:c>
      <x:c r="N491" s="19" t="n">
        <x:f>(E491-F491)*H491</x:f>
        <x:v>48</x:v>
      </x:c>
      <x:c r="O491" s="19" t="n">
        <x:f>F491*J491</x:f>
        <x:v>0</x:v>
      </x:c>
      <x:c r="P491" s="19" t="n">
        <x:f>M491-N491-O491</x:f>
        <x:v>48</x:v>
      </x:c>
    </x:row>
    <x:row r="492">
      <x:c r="A492" s="15" t="str">
        <x:v>SIM-0488</x:v>
      </x:c>
      <x:c r="B492" s="15" t="str">
        <x:v>2026-03</x:v>
      </x:c>
      <x:c r="C492" s="15" t="str">
        <x:v>Calzado</x:v>
      </x:c>
      <x:c r="D492" s="15" t="str">
        <x:v>Tienda</x:v>
      </x:c>
      <x:c r="E492" s="15" t="n">
        <x:v>2</x:v>
      </x:c>
      <x:c r="F492" s="15" t="n">
        <x:v>0</x:v>
      </x:c>
      <x:c r="G492" s="19" t="n">
        <x:v>90</x:v>
      </x:c>
      <x:c r="H492" s="19" t="n">
        <x:v>42</x:v>
      </x:c>
      <x:c r="I492" s="17" t="n">
        <x:v>0</x:v>
      </x:c>
      <x:c r="J492" s="19" t="n">
        <x:v>2</x:v>
      </x:c>
      <x:c r="K492" s="19" t="n">
        <x:f>E492*G492</x:f>
        <x:v>180</x:v>
      </x:c>
      <x:c r="L492" s="19" t="n">
        <x:f>K492*I492</x:f>
        <x:v>0</x:v>
      </x:c>
      <x:c r="M492" s="19" t="n">
        <x:f>(E492-F492)*G492*(1-I492)</x:f>
        <x:v>180</x:v>
      </x:c>
      <x:c r="N492" s="19" t="n">
        <x:f>(E492-F492)*H492</x:f>
        <x:v>84</x:v>
      </x:c>
      <x:c r="O492" s="19" t="n">
        <x:f>F492*J492</x:f>
        <x:v>0</x:v>
      </x:c>
      <x:c r="P492" s="19" t="n">
        <x:f>M492-N492-O492</x:f>
        <x:v>96</x:v>
      </x:c>
    </x:row>
    <x:row r="493">
      <x:c r="A493" s="15" t="str">
        <x:v>SIM-0489</x:v>
      </x:c>
      <x:c r="B493" s="15" t="str">
        <x:v>2026-03</x:v>
      </x:c>
      <x:c r="C493" s="15" t="str">
        <x:v>Calzado</x:v>
      </x:c>
      <x:c r="D493" s="15" t="str">
        <x:v>Online</x:v>
      </x:c>
      <x:c r="E493" s="15" t="n">
        <x:v>1</x:v>
      </x:c>
      <x:c r="F493" s="15" t="n">
        <x:v>0</x:v>
      </x:c>
      <x:c r="G493" s="19" t="n">
        <x:v>90</x:v>
      </x:c>
      <x:c r="H493" s="19" t="n">
        <x:v>42</x:v>
      </x:c>
      <x:c r="I493" s="17" t="n">
        <x:v>0.2</x:v>
      </x:c>
      <x:c r="J493" s="19" t="n">
        <x:v>6</x:v>
      </x:c>
      <x:c r="K493" s="19" t="n">
        <x:f>E493*G493</x:f>
        <x:v>90</x:v>
      </x:c>
      <x:c r="L493" s="19" t="n">
        <x:f>K493*I493</x:f>
        <x:v>18</x:v>
      </x:c>
      <x:c r="M493" s="19" t="n">
        <x:f>(E493-F493)*G493*(1-I493)</x:f>
        <x:v>72</x:v>
      </x:c>
      <x:c r="N493" s="19" t="n">
        <x:f>(E493-F493)*H493</x:f>
        <x:v>42</x:v>
      </x:c>
      <x:c r="O493" s="19" t="n">
        <x:f>F493*J493</x:f>
        <x:v>0</x:v>
      </x:c>
      <x:c r="P493" s="19" t="n">
        <x:f>M493-N493-O493</x:f>
        <x:v>30</x:v>
      </x:c>
    </x:row>
    <x:row r="494">
      <x:c r="A494" s="15" t="str">
        <x:v>SIM-0490</x:v>
      </x:c>
      <x:c r="B494" s="15" t="str">
        <x:v>2026-03</x:v>
      </x:c>
      <x:c r="C494" s="15" t="str">
        <x:v>Calzado</x:v>
      </x:c>
      <x:c r="D494" s="15" t="str">
        <x:v>Online</x:v>
      </x:c>
      <x:c r="E494" s="15" t="n">
        <x:v>2</x:v>
      </x:c>
      <x:c r="F494" s="15" t="n">
        <x:v>1</x:v>
      </x:c>
      <x:c r="G494" s="19" t="n">
        <x:v>90</x:v>
      </x:c>
      <x:c r="H494" s="19" t="n">
        <x:v>42</x:v>
      </x:c>
      <x:c r="I494" s="17" t="n">
        <x:v>0</x:v>
      </x:c>
      <x:c r="J494" s="19" t="n">
        <x:v>6</x:v>
      </x:c>
      <x:c r="K494" s="19" t="n">
        <x:f>E494*G494</x:f>
        <x:v>180</x:v>
      </x:c>
      <x:c r="L494" s="19" t="n">
        <x:f>K494*I494</x:f>
        <x:v>0</x:v>
      </x:c>
      <x:c r="M494" s="19" t="n">
        <x:f>(E494-F494)*G494*(1-I494)</x:f>
        <x:v>90</x:v>
      </x:c>
      <x:c r="N494" s="19" t="n">
        <x:f>(E494-F494)*H494</x:f>
        <x:v>42</x:v>
      </x:c>
      <x:c r="O494" s="19" t="n">
        <x:f>F494*J494</x:f>
        <x:v>6</x:v>
      </x:c>
      <x:c r="P494" s="19" t="n">
        <x:f>M494-N494-O494</x:f>
        <x:v>42</x:v>
      </x:c>
    </x:row>
    <x:row r="495">
      <x:c r="A495" s="15" t="str">
        <x:v>SIM-0491</x:v>
      </x:c>
      <x:c r="B495" s="15" t="str">
        <x:v>2026-03</x:v>
      </x:c>
      <x:c r="C495" s="15" t="str">
        <x:v>Accesorios</x:v>
      </x:c>
      <x:c r="D495" s="15" t="str">
        <x:v>Tienda</x:v>
      </x:c>
      <x:c r="E495" s="15" t="n">
        <x:v>1</x:v>
      </x:c>
      <x:c r="F495" s="15" t="n">
        <x:v>0</x:v>
      </x:c>
      <x:c r="G495" s="19" t="n">
        <x:v>30</x:v>
      </x:c>
      <x:c r="H495" s="19" t="n">
        <x:v>9</x:v>
      </x:c>
      <x:c r="I495" s="17" t="n">
        <x:v>0.1</x:v>
      </x:c>
      <x:c r="J495" s="19" t="n">
        <x:v>2</x:v>
      </x:c>
      <x:c r="K495" s="19" t="n">
        <x:f>E495*G495</x:f>
        <x:v>30</x:v>
      </x:c>
      <x:c r="L495" s="19" t="n">
        <x:f>K495*I495</x:f>
        <x:v>3</x:v>
      </x:c>
      <x:c r="M495" s="19" t="n">
        <x:f>(E495-F495)*G495*(1-I495)</x:f>
        <x:v>27</x:v>
      </x:c>
      <x:c r="N495" s="19" t="n">
        <x:f>(E495-F495)*H495</x:f>
        <x:v>9</x:v>
      </x:c>
      <x:c r="O495" s="19" t="n">
        <x:f>F495*J495</x:f>
        <x:v>0</x:v>
      </x:c>
      <x:c r="P495" s="19" t="n">
        <x:f>M495-N495-O495</x:f>
        <x:v>18</x:v>
      </x:c>
    </x:row>
    <x:row r="496">
      <x:c r="A496" s="15" t="str">
        <x:v>SIM-0492</x:v>
      </x:c>
      <x:c r="B496" s="15" t="str">
        <x:v>2026-03</x:v>
      </x:c>
      <x:c r="C496" s="15" t="str">
        <x:v>Calzado</x:v>
      </x:c>
      <x:c r="D496" s="15" t="str">
        <x:v>Online</x:v>
      </x:c>
      <x:c r="E496" s="15" t="n">
        <x:v>1</x:v>
      </x:c>
      <x:c r="F496" s="15" t="n">
        <x:v>0</x:v>
      </x:c>
      <x:c r="G496" s="19" t="n">
        <x:v>90</x:v>
      </x:c>
      <x:c r="H496" s="19" t="n">
        <x:v>42</x:v>
      </x:c>
      <x:c r="I496" s="17" t="n">
        <x:v>0.1</x:v>
      </x:c>
      <x:c r="J496" s="19" t="n">
        <x:v>6</x:v>
      </x:c>
      <x:c r="K496" s="19" t="n">
        <x:f>E496*G496</x:f>
        <x:v>90</x:v>
      </x:c>
      <x:c r="L496" s="19" t="n">
        <x:f>K496*I496</x:f>
        <x:v>9</x:v>
      </x:c>
      <x:c r="M496" s="19" t="n">
        <x:f>(E496-F496)*G496*(1-I496)</x:f>
        <x:v>81</x:v>
      </x:c>
      <x:c r="N496" s="19" t="n">
        <x:f>(E496-F496)*H496</x:f>
        <x:v>42</x:v>
      </x:c>
      <x:c r="O496" s="19" t="n">
        <x:f>F496*J496</x:f>
        <x:v>0</x:v>
      </x:c>
      <x:c r="P496" s="19" t="n">
        <x:f>M496-N496-O496</x:f>
        <x:v>39</x:v>
      </x:c>
    </x:row>
    <x:row r="497">
      <x:c r="A497" s="15" t="str">
        <x:v>SIM-0493</x:v>
      </x:c>
      <x:c r="B497" s="15" t="str">
        <x:v>2026-03</x:v>
      </x:c>
      <x:c r="C497" s="15" t="str">
        <x:v>Calzado</x:v>
      </x:c>
      <x:c r="D497" s="15" t="str">
        <x:v>Tienda</x:v>
      </x:c>
      <x:c r="E497" s="15" t="n">
        <x:v>2</x:v>
      </x:c>
      <x:c r="F497" s="15" t="n">
        <x:v>0</x:v>
      </x:c>
      <x:c r="G497" s="19" t="n">
        <x:v>90</x:v>
      </x:c>
      <x:c r="H497" s="19" t="n">
        <x:v>42</x:v>
      </x:c>
      <x:c r="I497" s="17" t="n">
        <x:v>0.1</x:v>
      </x:c>
      <x:c r="J497" s="19" t="n">
        <x:v>2</x:v>
      </x:c>
      <x:c r="K497" s="19" t="n">
        <x:f>E497*G497</x:f>
        <x:v>180</x:v>
      </x:c>
      <x:c r="L497" s="19" t="n">
        <x:f>K497*I497</x:f>
        <x:v>18</x:v>
      </x:c>
      <x:c r="M497" s="19" t="n">
        <x:f>(E497-F497)*G497*(1-I497)</x:f>
        <x:v>162</x:v>
      </x:c>
      <x:c r="N497" s="19" t="n">
        <x:f>(E497-F497)*H497</x:f>
        <x:v>84</x:v>
      </x:c>
      <x:c r="O497" s="19" t="n">
        <x:f>F497*J497</x:f>
        <x:v>0</x:v>
      </x:c>
      <x:c r="P497" s="19" t="n">
        <x:f>M497-N497-O497</x:f>
        <x:v>78</x:v>
      </x:c>
    </x:row>
    <x:row r="498">
      <x:c r="A498" s="15" t="str">
        <x:v>SIM-0494</x:v>
      </x:c>
      <x:c r="B498" s="15" t="str">
        <x:v>2026-03</x:v>
      </x:c>
      <x:c r="C498" s="15" t="str">
        <x:v>Accesorios</x:v>
      </x:c>
      <x:c r="D498" s="15" t="str">
        <x:v>Tienda</x:v>
      </x:c>
      <x:c r="E498" s="15" t="n">
        <x:v>1</x:v>
      </x:c>
      <x:c r="F498" s="15" t="n">
        <x:v>0</x:v>
      </x:c>
      <x:c r="G498" s="19" t="n">
        <x:v>30</x:v>
      </x:c>
      <x:c r="H498" s="19" t="n">
        <x:v>9</x:v>
      </x:c>
      <x:c r="I498" s="17" t="n">
        <x:v>0.3</x:v>
      </x:c>
      <x:c r="J498" s="19" t="n">
        <x:v>2</x:v>
      </x:c>
      <x:c r="K498" s="19" t="n">
        <x:f>E498*G498</x:f>
        <x:v>30</x:v>
      </x:c>
      <x:c r="L498" s="19" t="n">
        <x:f>K498*I498</x:f>
        <x:v>9</x:v>
      </x:c>
      <x:c r="M498" s="19" t="n">
        <x:f>(E498-F498)*G498*(1-I498)</x:f>
        <x:v>21</x:v>
      </x:c>
      <x:c r="N498" s="19" t="n">
        <x:f>(E498-F498)*H498</x:f>
        <x:v>9</x:v>
      </x:c>
      <x:c r="O498" s="19" t="n">
        <x:f>F498*J498</x:f>
        <x:v>0</x:v>
      </x:c>
      <x:c r="P498" s="19" t="n">
        <x:f>M498-N498-O498</x:f>
        <x:v>12</x:v>
      </x:c>
    </x:row>
    <x:row r="499">
      <x:c r="A499" s="15" t="str">
        <x:v>SIM-0495</x:v>
      </x:c>
      <x:c r="B499" s="15" t="str">
        <x:v>2026-03</x:v>
      </x:c>
      <x:c r="C499" s="15" t="str">
        <x:v>Prendas</x:v>
      </x:c>
      <x:c r="D499" s="15" t="str">
        <x:v>Tienda</x:v>
      </x:c>
      <x:c r="E499" s="15" t="n">
        <x:v>1</x:v>
      </x:c>
      <x:c r="F499" s="15" t="n">
        <x:v>0</x:v>
      </x:c>
      <x:c r="G499" s="19" t="n">
        <x:v>60</x:v>
      </x:c>
      <x:c r="H499" s="19" t="n">
        <x:v>24</x:v>
      </x:c>
      <x:c r="I499" s="17" t="n">
        <x:v>0.1</x:v>
      </x:c>
      <x:c r="J499" s="19" t="n">
        <x:v>2</x:v>
      </x:c>
      <x:c r="K499" s="19" t="n">
        <x:f>E499*G499</x:f>
        <x:v>60</x:v>
      </x:c>
      <x:c r="L499" s="19" t="n">
        <x:f>K499*I499</x:f>
        <x:v>6</x:v>
      </x:c>
      <x:c r="M499" s="19" t="n">
        <x:f>(E499-F499)*G499*(1-I499)</x:f>
        <x:v>54</x:v>
      </x:c>
      <x:c r="N499" s="19" t="n">
        <x:f>(E499-F499)*H499</x:f>
        <x:v>24</x:v>
      </x:c>
      <x:c r="O499" s="19" t="n">
        <x:f>F499*J499</x:f>
        <x:v>0</x:v>
      </x:c>
      <x:c r="P499" s="19" t="n">
        <x:f>M499-N499-O499</x:f>
        <x:v>30</x:v>
      </x:c>
    </x:row>
    <x:row r="500">
      <x:c r="A500" s="15" t="str">
        <x:v>SIM-0496</x:v>
      </x:c>
      <x:c r="B500" s="15" t="str">
        <x:v>2026-03</x:v>
      </x:c>
      <x:c r="C500" s="15" t="str">
        <x:v>Accesorios</x:v>
      </x:c>
      <x:c r="D500" s="15" t="str">
        <x:v>Online</x:v>
      </x:c>
      <x:c r="E500" s="15" t="n">
        <x:v>1</x:v>
      </x:c>
      <x:c r="F500" s="15" t="n">
        <x:v>0</x:v>
      </x:c>
      <x:c r="G500" s="19" t="n">
        <x:v>30</x:v>
      </x:c>
      <x:c r="H500" s="19" t="n">
        <x:v>9</x:v>
      </x:c>
      <x:c r="I500" s="17" t="n">
        <x:v>0.1</x:v>
      </x:c>
      <x:c r="J500" s="19" t="n">
        <x:v>6</x:v>
      </x:c>
      <x:c r="K500" s="19" t="n">
        <x:f>E500*G500</x:f>
        <x:v>30</x:v>
      </x:c>
      <x:c r="L500" s="19" t="n">
        <x:f>K500*I500</x:f>
        <x:v>3</x:v>
      </x:c>
      <x:c r="M500" s="19" t="n">
        <x:f>(E500-F500)*G500*(1-I500)</x:f>
        <x:v>27</x:v>
      </x:c>
      <x:c r="N500" s="19" t="n">
        <x:f>(E500-F500)*H500</x:f>
        <x:v>9</x:v>
      </x:c>
      <x:c r="O500" s="19" t="n">
        <x:f>F500*J500</x:f>
        <x:v>0</x:v>
      </x:c>
      <x:c r="P500" s="19" t="n">
        <x:f>M500-N500-O500</x:f>
        <x:v>18</x:v>
      </x:c>
    </x:row>
    <x:row r="501">
      <x:c r="A501" s="15" t="str">
        <x:v>SIM-0497</x:v>
      </x:c>
      <x:c r="B501" s="15" t="str">
        <x:v>2026-03</x:v>
      </x:c>
      <x:c r="C501" s="15" t="str">
        <x:v>Prendas</x:v>
      </x:c>
      <x:c r="D501" s="15" t="str">
        <x:v>Online</x:v>
      </x:c>
      <x:c r="E501" s="15" t="n">
        <x:v>1</x:v>
      </x:c>
      <x:c r="F501" s="15" t="n">
        <x:v>0</x:v>
      </x:c>
      <x:c r="G501" s="19" t="n">
        <x:v>60</x:v>
      </x:c>
      <x:c r="H501" s="19" t="n">
        <x:v>24</x:v>
      </x:c>
      <x:c r="I501" s="17" t="n">
        <x:v>0</x:v>
      </x:c>
      <x:c r="J501" s="19" t="n">
        <x:v>6</x:v>
      </x:c>
      <x:c r="K501" s="19" t="n">
        <x:f>E501*G501</x:f>
        <x:v>60</x:v>
      </x:c>
      <x:c r="L501" s="19" t="n">
        <x:f>K501*I501</x:f>
        <x:v>0</x:v>
      </x:c>
      <x:c r="M501" s="19" t="n">
        <x:f>(E501-F501)*G501*(1-I501)</x:f>
        <x:v>60</x:v>
      </x:c>
      <x:c r="N501" s="19" t="n">
        <x:f>(E501-F501)*H501</x:f>
        <x:v>24</x:v>
      </x:c>
      <x:c r="O501" s="19" t="n">
        <x:f>F501*J501</x:f>
        <x:v>0</x:v>
      </x:c>
      <x:c r="P501" s="19" t="n">
        <x:f>M501-N501-O501</x:f>
        <x:v>36</x:v>
      </x:c>
    </x:row>
    <x:row r="502">
      <x:c r="A502" s="15" t="str">
        <x:v>SIM-0498</x:v>
      </x:c>
      <x:c r="B502" s="15" t="str">
        <x:v>2026-03</x:v>
      </x:c>
      <x:c r="C502" s="15" t="str">
        <x:v>Accesorios</x:v>
      </x:c>
      <x:c r="D502" s="15" t="str">
        <x:v>Tienda</x:v>
      </x:c>
      <x:c r="E502" s="15" t="n">
        <x:v>1</x:v>
      </x:c>
      <x:c r="F502" s="15" t="n">
        <x:v>0</x:v>
      </x:c>
      <x:c r="G502" s="19" t="n">
        <x:v>30</x:v>
      </x:c>
      <x:c r="H502" s="19" t="n">
        <x:v>9</x:v>
      </x:c>
      <x:c r="I502" s="17" t="n">
        <x:v>0</x:v>
      </x:c>
      <x:c r="J502" s="19" t="n">
        <x:v>2</x:v>
      </x:c>
      <x:c r="K502" s="19" t="n">
        <x:f>E502*G502</x:f>
        <x:v>30</x:v>
      </x:c>
      <x:c r="L502" s="19" t="n">
        <x:f>K502*I502</x:f>
        <x:v>0</x:v>
      </x:c>
      <x:c r="M502" s="19" t="n">
        <x:f>(E502-F502)*G502*(1-I502)</x:f>
        <x:v>30</x:v>
      </x:c>
      <x:c r="N502" s="19" t="n">
        <x:f>(E502-F502)*H502</x:f>
        <x:v>9</x:v>
      </x:c>
      <x:c r="O502" s="19" t="n">
        <x:f>F502*J502</x:f>
        <x:v>0</x:v>
      </x:c>
      <x:c r="P502" s="19" t="n">
        <x:f>M502-N502-O502</x:f>
        <x:v>21</x:v>
      </x:c>
    </x:row>
    <x:row r="503">
      <x:c r="A503" s="15" t="str">
        <x:v>SIM-0499</x:v>
      </x:c>
      <x:c r="B503" s="15" t="str">
        <x:v>2026-03</x:v>
      </x:c>
      <x:c r="C503" s="15" t="str">
        <x:v>Prendas</x:v>
      </x:c>
      <x:c r="D503" s="15" t="str">
        <x:v>Tienda</x:v>
      </x:c>
      <x:c r="E503" s="15" t="n">
        <x:v>1</x:v>
      </x:c>
      <x:c r="F503" s="15" t="n">
        <x:v>0</x:v>
      </x:c>
      <x:c r="G503" s="19" t="n">
        <x:v>60</x:v>
      </x:c>
      <x:c r="H503" s="19" t="n">
        <x:v>24</x:v>
      </x:c>
      <x:c r="I503" s="17" t="n">
        <x:v>0.1</x:v>
      </x:c>
      <x:c r="J503" s="19" t="n">
        <x:v>2</x:v>
      </x:c>
      <x:c r="K503" s="19" t="n">
        <x:f>E503*G503</x:f>
        <x:v>60</x:v>
      </x:c>
      <x:c r="L503" s="19" t="n">
        <x:f>K503*I503</x:f>
        <x:v>6</x:v>
      </x:c>
      <x:c r="M503" s="19" t="n">
        <x:f>(E503-F503)*G503*(1-I503)</x:f>
        <x:v>54</x:v>
      </x:c>
      <x:c r="N503" s="19" t="n">
        <x:f>(E503-F503)*H503</x:f>
        <x:v>24</x:v>
      </x:c>
      <x:c r="O503" s="19" t="n">
        <x:f>F503*J503</x:f>
        <x:v>0</x:v>
      </x:c>
      <x:c r="P503" s="19" t="n">
        <x:f>M503-N503-O503</x:f>
        <x:v>30</x:v>
      </x:c>
    </x:row>
    <x:row r="504">
      <x:c r="A504" s="15" t="str">
        <x:v>SIM-0500</x:v>
      </x:c>
      <x:c r="B504" s="15" t="str">
        <x:v>2026-03</x:v>
      </x:c>
      <x:c r="C504" s="15" t="str">
        <x:v>Calzado</x:v>
      </x:c>
      <x:c r="D504" s="15" t="str">
        <x:v>Online</x:v>
      </x:c>
      <x:c r="E504" s="15" t="n">
        <x:v>1</x:v>
      </x:c>
      <x:c r="F504" s="15" t="n">
        <x:v>0</x:v>
      </x:c>
      <x:c r="G504" s="19" t="n">
        <x:v>90</x:v>
      </x:c>
      <x:c r="H504" s="19" t="n">
        <x:v>42</x:v>
      </x:c>
      <x:c r="I504" s="17" t="n">
        <x:v>0.1</x:v>
      </x:c>
      <x:c r="J504" s="19" t="n">
        <x:v>6</x:v>
      </x:c>
      <x:c r="K504" s="19" t="n">
        <x:f>E504*G504</x:f>
        <x:v>90</x:v>
      </x:c>
      <x:c r="L504" s="19" t="n">
        <x:f>K504*I504</x:f>
        <x:v>9</x:v>
      </x:c>
      <x:c r="M504" s="19" t="n">
        <x:f>(E504-F504)*G504*(1-I504)</x:f>
        <x:v>81</x:v>
      </x:c>
      <x:c r="N504" s="19" t="n">
        <x:f>(E504-F504)*H504</x:f>
        <x:v>42</x:v>
      </x:c>
      <x:c r="O504" s="19" t="n">
        <x:f>F504*J504</x:f>
        <x:v>0</x:v>
      </x:c>
      <x:c r="P504" s="19" t="n">
        <x:f>M504-N504-O504</x:f>
        <x:v>39</x:v>
      </x:c>
    </x:row>
    <x:row r="505">
      <x:c r="A505" s="15" t="str">
        <x:v>SIM-0501</x:v>
      </x:c>
      <x:c r="B505" s="15" t="str">
        <x:v>2026-03</x:v>
      </x:c>
      <x:c r="C505" s="15" t="str">
        <x:v>Calzado</x:v>
      </x:c>
      <x:c r="D505" s="15" t="str">
        <x:v>Online</x:v>
      </x:c>
      <x:c r="E505" s="15" t="n">
        <x:v>1</x:v>
      </x:c>
      <x:c r="F505" s="15" t="n">
        <x:v>0</x:v>
      </x:c>
      <x:c r="G505" s="19" t="n">
        <x:v>90</x:v>
      </x:c>
      <x:c r="H505" s="19" t="n">
        <x:v>42</x:v>
      </x:c>
      <x:c r="I505" s="17" t="n">
        <x:v>0.1</x:v>
      </x:c>
      <x:c r="J505" s="19" t="n">
        <x:v>6</x:v>
      </x:c>
      <x:c r="K505" s="19" t="n">
        <x:f>E505*G505</x:f>
        <x:v>90</x:v>
      </x:c>
      <x:c r="L505" s="19" t="n">
        <x:f>K505*I505</x:f>
        <x:v>9</x:v>
      </x:c>
      <x:c r="M505" s="19" t="n">
        <x:f>(E505-F505)*G505*(1-I505)</x:f>
        <x:v>81</x:v>
      </x:c>
      <x:c r="N505" s="19" t="n">
        <x:f>(E505-F505)*H505</x:f>
        <x:v>42</x:v>
      </x:c>
      <x:c r="O505" s="19" t="n">
        <x:f>F505*J505</x:f>
        <x:v>0</x:v>
      </x:c>
      <x:c r="P505" s="19" t="n">
        <x:f>M505-N505-O505</x:f>
        <x:v>39</x:v>
      </x:c>
    </x:row>
    <x:row r="506">
      <x:c r="A506" s="15" t="str">
        <x:v>SIM-0502</x:v>
      </x:c>
      <x:c r="B506" s="15" t="str">
        <x:v>2026-03</x:v>
      </x:c>
      <x:c r="C506" s="15" t="str">
        <x:v>Calzado</x:v>
      </x:c>
      <x:c r="D506" s="15" t="str">
        <x:v>Tienda</x:v>
      </x:c>
      <x:c r="E506" s="15" t="n">
        <x:v>3</x:v>
      </x:c>
      <x:c r="F506" s="15" t="n">
        <x:v>0</x:v>
      </x:c>
      <x:c r="G506" s="19" t="n">
        <x:v>90</x:v>
      </x:c>
      <x:c r="H506" s="19" t="n">
        <x:v>42</x:v>
      </x:c>
      <x:c r="I506" s="17" t="n">
        <x:v>0.2</x:v>
      </x:c>
      <x:c r="J506" s="19" t="n">
        <x:v>2</x:v>
      </x:c>
      <x:c r="K506" s="19" t="n">
        <x:f>E506*G506</x:f>
        <x:v>270</x:v>
      </x:c>
      <x:c r="L506" s="19" t="n">
        <x:f>K506*I506</x:f>
        <x:v>54</x:v>
      </x:c>
      <x:c r="M506" s="19" t="n">
        <x:f>(E506-F506)*G506*(1-I506)</x:f>
        <x:v>216</x:v>
      </x:c>
      <x:c r="N506" s="19" t="n">
        <x:f>(E506-F506)*H506</x:f>
        <x:v>126</x:v>
      </x:c>
      <x:c r="O506" s="19" t="n">
        <x:f>F506*J506</x:f>
        <x:v>0</x:v>
      </x:c>
      <x:c r="P506" s="19" t="n">
        <x:f>M506-N506-O506</x:f>
        <x:v>90</x:v>
      </x:c>
    </x:row>
    <x:row r="507">
      <x:c r="A507" s="15" t="str">
        <x:v>SIM-0503</x:v>
      </x:c>
      <x:c r="B507" s="15" t="str">
        <x:v>2026-03</x:v>
      </x:c>
      <x:c r="C507" s="15" t="str">
        <x:v>Calzado</x:v>
      </x:c>
      <x:c r="D507" s="15" t="str">
        <x:v>Tienda</x:v>
      </x:c>
      <x:c r="E507" s="15" t="n">
        <x:v>1</x:v>
      </x:c>
      <x:c r="F507" s="15" t="n">
        <x:v>0</x:v>
      </x:c>
      <x:c r="G507" s="19" t="n">
        <x:v>90</x:v>
      </x:c>
      <x:c r="H507" s="19" t="n">
        <x:v>42</x:v>
      </x:c>
      <x:c r="I507" s="17" t="n">
        <x:v>0.1</x:v>
      </x:c>
      <x:c r="J507" s="19" t="n">
        <x:v>2</x:v>
      </x:c>
      <x:c r="K507" s="19" t="n">
        <x:f>E507*G507</x:f>
        <x:v>90</x:v>
      </x:c>
      <x:c r="L507" s="19" t="n">
        <x:f>K507*I507</x:f>
        <x:v>9</x:v>
      </x:c>
      <x:c r="M507" s="19" t="n">
        <x:f>(E507-F507)*G507*(1-I507)</x:f>
        <x:v>81</x:v>
      </x:c>
      <x:c r="N507" s="19" t="n">
        <x:f>(E507-F507)*H507</x:f>
        <x:v>42</x:v>
      </x:c>
      <x:c r="O507" s="19" t="n">
        <x:f>F507*J507</x:f>
        <x:v>0</x:v>
      </x:c>
      <x:c r="P507" s="19" t="n">
        <x:f>M507-N507-O507</x:f>
        <x:v>39</x:v>
      </x:c>
    </x:row>
    <x:row r="508">
      <x:c r="A508" s="15" t="str">
        <x:v>SIM-0504</x:v>
      </x:c>
      <x:c r="B508" s="15" t="str">
        <x:v>2026-03</x:v>
      </x:c>
      <x:c r="C508" s="15" t="str">
        <x:v>Calzado</x:v>
      </x:c>
      <x:c r="D508" s="15" t="str">
        <x:v>Online</x:v>
      </x:c>
      <x:c r="E508" s="15" t="n">
        <x:v>1</x:v>
      </x:c>
      <x:c r="F508" s="15" t="n">
        <x:v>0</x:v>
      </x:c>
      <x:c r="G508" s="19" t="n">
        <x:v>90</x:v>
      </x:c>
      <x:c r="H508" s="19" t="n">
        <x:v>42</x:v>
      </x:c>
      <x:c r="I508" s="17" t="n">
        <x:v>0.1</x:v>
      </x:c>
      <x:c r="J508" s="19" t="n">
        <x:v>6</x:v>
      </x:c>
      <x:c r="K508" s="19" t="n">
        <x:f>E508*G508</x:f>
        <x:v>90</x:v>
      </x:c>
      <x:c r="L508" s="19" t="n">
        <x:f>K508*I508</x:f>
        <x:v>9</x:v>
      </x:c>
      <x:c r="M508" s="19" t="n">
        <x:f>(E508-F508)*G508*(1-I508)</x:f>
        <x:v>81</x:v>
      </x:c>
      <x:c r="N508" s="19" t="n">
        <x:f>(E508-F508)*H508</x:f>
        <x:v>42</x:v>
      </x:c>
      <x:c r="O508" s="19" t="n">
        <x:f>F508*J508</x:f>
        <x:v>0</x:v>
      </x:c>
      <x:c r="P508" s="19" t="n">
        <x:f>M508-N508-O508</x:f>
        <x:v>39</x:v>
      </x:c>
    </x:row>
    <x:row r="509">
      <x:c r="A509" s="15" t="str">
        <x:v>SIM-0505</x:v>
      </x:c>
      <x:c r="B509" s="15" t="str">
        <x:v>2026-03</x:v>
      </x:c>
      <x:c r="C509" s="15" t="str">
        <x:v>Accesorios</x:v>
      </x:c>
      <x:c r="D509" s="15" t="str">
        <x:v>Online</x:v>
      </x:c>
      <x:c r="E509" s="15" t="n">
        <x:v>1</x:v>
      </x:c>
      <x:c r="F509" s="15" t="n">
        <x:v>0</x:v>
      </x:c>
      <x:c r="G509" s="19" t="n">
        <x:v>30</x:v>
      </x:c>
      <x:c r="H509" s="19" t="n">
        <x:v>9</x:v>
      </x:c>
      <x:c r="I509" s="17" t="n">
        <x:v>0.2</x:v>
      </x:c>
      <x:c r="J509" s="19" t="n">
        <x:v>6</x:v>
      </x:c>
      <x:c r="K509" s="19" t="n">
        <x:f>E509*G509</x:f>
        <x:v>30</x:v>
      </x:c>
      <x:c r="L509" s="19" t="n">
        <x:f>K509*I509</x:f>
        <x:v>6</x:v>
      </x:c>
      <x:c r="M509" s="19" t="n">
        <x:f>(E509-F509)*G509*(1-I509)</x:f>
        <x:v>24</x:v>
      </x:c>
      <x:c r="N509" s="19" t="n">
        <x:f>(E509-F509)*H509</x:f>
        <x:v>9</x:v>
      </x:c>
      <x:c r="O509" s="19" t="n">
        <x:f>F509*J509</x:f>
        <x:v>0</x:v>
      </x:c>
      <x:c r="P509" s="19" t="n">
        <x:f>M509-N509-O509</x:f>
        <x:v>15</x:v>
      </x:c>
    </x:row>
    <x:row r="510">
      <x:c r="A510" s="15" t="str">
        <x:v>SIM-0506</x:v>
      </x:c>
      <x:c r="B510" s="15" t="str">
        <x:v>2026-03</x:v>
      </x:c>
      <x:c r="C510" s="15" t="str">
        <x:v>Prendas</x:v>
      </x:c>
      <x:c r="D510" s="15" t="str">
        <x:v>Tienda</x:v>
      </x:c>
      <x:c r="E510" s="15" t="n">
        <x:v>2</x:v>
      </x:c>
      <x:c r="F510" s="15" t="n">
        <x:v>0</x:v>
      </x:c>
      <x:c r="G510" s="19" t="n">
        <x:v>60</x:v>
      </x:c>
      <x:c r="H510" s="19" t="n">
        <x:v>24</x:v>
      </x:c>
      <x:c r="I510" s="17" t="n">
        <x:v>0.1</x:v>
      </x:c>
      <x:c r="J510" s="19" t="n">
        <x:v>2</x:v>
      </x:c>
      <x:c r="K510" s="19" t="n">
        <x:f>E510*G510</x:f>
        <x:v>120</x:v>
      </x:c>
      <x:c r="L510" s="19" t="n">
        <x:f>K510*I510</x:f>
        <x:v>12</x:v>
      </x:c>
      <x:c r="M510" s="19" t="n">
        <x:f>(E510-F510)*G510*(1-I510)</x:f>
        <x:v>108</x:v>
      </x:c>
      <x:c r="N510" s="19" t="n">
        <x:f>(E510-F510)*H510</x:f>
        <x:v>48</x:v>
      </x:c>
      <x:c r="O510" s="19" t="n">
        <x:f>F510*J510</x:f>
        <x:v>0</x:v>
      </x:c>
      <x:c r="P510" s="19" t="n">
        <x:f>M510-N510-O510</x:f>
        <x:v>60</x:v>
      </x:c>
    </x:row>
    <x:row r="511">
      <x:c r="A511" s="15" t="str">
        <x:v>SIM-0507</x:v>
      </x:c>
      <x:c r="B511" s="15" t="str">
        <x:v>2026-03</x:v>
      </x:c>
      <x:c r="C511" s="15" t="str">
        <x:v>Prendas</x:v>
      </x:c>
      <x:c r="D511" s="15" t="str">
        <x:v>Tienda</x:v>
      </x:c>
      <x:c r="E511" s="15" t="n">
        <x:v>2</x:v>
      </x:c>
      <x:c r="F511" s="15" t="n">
        <x:v>0</x:v>
      </x:c>
      <x:c r="G511" s="19" t="n">
        <x:v>60</x:v>
      </x:c>
      <x:c r="H511" s="19" t="n">
        <x:v>24</x:v>
      </x:c>
      <x:c r="I511" s="17" t="n">
        <x:v>0</x:v>
      </x:c>
      <x:c r="J511" s="19" t="n">
        <x:v>2</x:v>
      </x:c>
      <x:c r="K511" s="19" t="n">
        <x:f>E511*G511</x:f>
        <x:v>120</x:v>
      </x:c>
      <x:c r="L511" s="19" t="n">
        <x:f>K511*I511</x:f>
        <x:v>0</x:v>
      </x:c>
      <x:c r="M511" s="19" t="n">
        <x:f>(E511-F511)*G511*(1-I511)</x:f>
        <x:v>120</x:v>
      </x:c>
      <x:c r="N511" s="19" t="n">
        <x:f>(E511-F511)*H511</x:f>
        <x:v>48</x:v>
      </x:c>
      <x:c r="O511" s="19" t="n">
        <x:f>F511*J511</x:f>
        <x:v>0</x:v>
      </x:c>
      <x:c r="P511" s="19" t="n">
        <x:f>M511-N511-O511</x:f>
        <x:v>72</x:v>
      </x:c>
    </x:row>
    <x:row r="512">
      <x:c r="A512" s="15" t="str">
        <x:v>SIM-0508</x:v>
      </x:c>
      <x:c r="B512" s="15" t="str">
        <x:v>2026-03</x:v>
      </x:c>
      <x:c r="C512" s="15" t="str">
        <x:v>Calzado</x:v>
      </x:c>
      <x:c r="D512" s="15" t="str">
        <x:v>Online</x:v>
      </x:c>
      <x:c r="E512" s="15" t="n">
        <x:v>1</x:v>
      </x:c>
      <x:c r="F512" s="15" t="n">
        <x:v>0</x:v>
      </x:c>
      <x:c r="G512" s="19" t="n">
        <x:v>90</x:v>
      </x:c>
      <x:c r="H512" s="19" t="n">
        <x:v>42</x:v>
      </x:c>
      <x:c r="I512" s="17" t="n">
        <x:v>0.1</x:v>
      </x:c>
      <x:c r="J512" s="19" t="n">
        <x:v>6</x:v>
      </x:c>
      <x:c r="K512" s="19" t="n">
        <x:f>E512*G512</x:f>
        <x:v>90</x:v>
      </x:c>
      <x:c r="L512" s="19" t="n">
        <x:f>K512*I512</x:f>
        <x:v>9</x:v>
      </x:c>
      <x:c r="M512" s="19" t="n">
        <x:f>(E512-F512)*G512*(1-I512)</x:f>
        <x:v>81</x:v>
      </x:c>
      <x:c r="N512" s="19" t="n">
        <x:f>(E512-F512)*H512</x:f>
        <x:v>42</x:v>
      </x:c>
      <x:c r="O512" s="19" t="n">
        <x:f>F512*J512</x:f>
        <x:v>0</x:v>
      </x:c>
      <x:c r="P512" s="19" t="n">
        <x:f>M512-N512-O512</x:f>
        <x:v>39</x:v>
      </x:c>
    </x:row>
    <x:row r="513">
      <x:c r="A513" s="15" t="str">
        <x:v>SIM-0509</x:v>
      </x:c>
      <x:c r="B513" s="15" t="str">
        <x:v>2026-03</x:v>
      </x:c>
      <x:c r="C513" s="15" t="str">
        <x:v>Calzado</x:v>
      </x:c>
      <x:c r="D513" s="15" t="str">
        <x:v>Tienda</x:v>
      </x:c>
      <x:c r="E513" s="15" t="n">
        <x:v>1</x:v>
      </x:c>
      <x:c r="F513" s="15" t="n">
        <x:v>0</x:v>
      </x:c>
      <x:c r="G513" s="19" t="n">
        <x:v>90</x:v>
      </x:c>
      <x:c r="H513" s="19" t="n">
        <x:v>42</x:v>
      </x:c>
      <x:c r="I513" s="17" t="n">
        <x:v>0</x:v>
      </x:c>
      <x:c r="J513" s="19" t="n">
        <x:v>2</x:v>
      </x:c>
      <x:c r="K513" s="19" t="n">
        <x:f>E513*G513</x:f>
        <x:v>90</x:v>
      </x:c>
      <x:c r="L513" s="19" t="n">
        <x:f>K513*I513</x:f>
        <x:v>0</x:v>
      </x:c>
      <x:c r="M513" s="19" t="n">
        <x:f>(E513-F513)*G513*(1-I513)</x:f>
        <x:v>90</x:v>
      </x:c>
      <x:c r="N513" s="19" t="n">
        <x:f>(E513-F513)*H513</x:f>
        <x:v>42</x:v>
      </x:c>
      <x:c r="O513" s="19" t="n">
        <x:f>F513*J513</x:f>
        <x:v>0</x:v>
      </x:c>
      <x:c r="P513" s="19" t="n">
        <x:f>M513-N513-O513</x:f>
        <x:v>48</x:v>
      </x:c>
    </x:row>
    <x:row r="514">
      <x:c r="A514" s="15" t="str">
        <x:v>SIM-0510</x:v>
      </x:c>
      <x:c r="B514" s="15" t="str">
        <x:v>2026-03</x:v>
      </x:c>
      <x:c r="C514" s="15" t="str">
        <x:v>Prendas</x:v>
      </x:c>
      <x:c r="D514" s="15" t="str">
        <x:v>Tienda</x:v>
      </x:c>
      <x:c r="E514" s="15" t="n">
        <x:v>2</x:v>
      </x:c>
      <x:c r="F514" s="15" t="n">
        <x:v>0</x:v>
      </x:c>
      <x:c r="G514" s="19" t="n">
        <x:v>60</x:v>
      </x:c>
      <x:c r="H514" s="19" t="n">
        <x:v>24</x:v>
      </x:c>
      <x:c r="I514" s="17" t="n">
        <x:v>0.2</x:v>
      </x:c>
      <x:c r="J514" s="19" t="n">
        <x:v>2</x:v>
      </x:c>
      <x:c r="K514" s="19" t="n">
        <x:f>E514*G514</x:f>
        <x:v>120</x:v>
      </x:c>
      <x:c r="L514" s="19" t="n">
        <x:f>K514*I514</x:f>
        <x:v>24</x:v>
      </x:c>
      <x:c r="M514" s="19" t="n">
        <x:f>(E514-F514)*G514*(1-I514)</x:f>
        <x:v>96</x:v>
      </x:c>
      <x:c r="N514" s="19" t="n">
        <x:f>(E514-F514)*H514</x:f>
        <x:v>48</x:v>
      </x:c>
      <x:c r="O514" s="19" t="n">
        <x:f>F514*J514</x:f>
        <x:v>0</x:v>
      </x:c>
      <x:c r="P514" s="19" t="n">
        <x:f>M514-N514-O514</x:f>
        <x:v>48</x:v>
      </x:c>
    </x:row>
    <x:row r="515">
      <x:c r="A515" s="15" t="str">
        <x:v>SIM-0511</x:v>
      </x:c>
      <x:c r="B515" s="15" t="str">
        <x:v>2026-03</x:v>
      </x:c>
      <x:c r="C515" s="15" t="str">
        <x:v>Accesorios</x:v>
      </x:c>
      <x:c r="D515" s="15" t="str">
        <x:v>Tienda</x:v>
      </x:c>
      <x:c r="E515" s="15" t="n">
        <x:v>1</x:v>
      </x:c>
      <x:c r="F515" s="15" t="n">
        <x:v>0</x:v>
      </x:c>
      <x:c r="G515" s="19" t="n">
        <x:v>30</x:v>
      </x:c>
      <x:c r="H515" s="19" t="n">
        <x:v>9</x:v>
      </x:c>
      <x:c r="I515" s="17" t="n">
        <x:v>0</x:v>
      </x:c>
      <x:c r="J515" s="19" t="n">
        <x:v>2</x:v>
      </x:c>
      <x:c r="K515" s="19" t="n">
        <x:f>E515*G515</x:f>
        <x:v>30</x:v>
      </x:c>
      <x:c r="L515" s="19" t="n">
        <x:f>K515*I515</x:f>
        <x:v>0</x:v>
      </x:c>
      <x:c r="M515" s="19" t="n">
        <x:f>(E515-F515)*G515*(1-I515)</x:f>
        <x:v>30</x:v>
      </x:c>
      <x:c r="N515" s="19" t="n">
        <x:f>(E515-F515)*H515</x:f>
        <x:v>9</x:v>
      </x:c>
      <x:c r="O515" s="19" t="n">
        <x:f>F515*J515</x:f>
        <x:v>0</x:v>
      </x:c>
      <x:c r="P515" s="19" t="n">
        <x:f>M515-N515-O515</x:f>
        <x:v>21</x:v>
      </x:c>
    </x:row>
    <x:row r="516">
      <x:c r="A516" s="15" t="str">
        <x:v>SIM-0512</x:v>
      </x:c>
      <x:c r="B516" s="15" t="str">
        <x:v>2026-03</x:v>
      </x:c>
      <x:c r="C516" s="15" t="str">
        <x:v>Calzado</x:v>
      </x:c>
      <x:c r="D516" s="15" t="str">
        <x:v>Tienda</x:v>
      </x:c>
      <x:c r="E516" s="15" t="n">
        <x:v>3</x:v>
      </x:c>
      <x:c r="F516" s="15" t="n">
        <x:v>0</x:v>
      </x:c>
      <x:c r="G516" s="19" t="n">
        <x:v>90</x:v>
      </x:c>
      <x:c r="H516" s="19" t="n">
        <x:v>42</x:v>
      </x:c>
      <x:c r="I516" s="17" t="n">
        <x:v>0.3</x:v>
      </x:c>
      <x:c r="J516" s="19" t="n">
        <x:v>2</x:v>
      </x:c>
      <x:c r="K516" s="19" t="n">
        <x:f>E516*G516</x:f>
        <x:v>270</x:v>
      </x:c>
      <x:c r="L516" s="19" t="n">
        <x:f>K516*I516</x:f>
        <x:v>81</x:v>
      </x:c>
      <x:c r="M516" s="19" t="n">
        <x:f>(E516-F516)*G516*(1-I516)</x:f>
        <x:v>189</x:v>
      </x:c>
      <x:c r="N516" s="19" t="n">
        <x:f>(E516-F516)*H516</x:f>
        <x:v>126</x:v>
      </x:c>
      <x:c r="O516" s="19" t="n">
        <x:f>F516*J516</x:f>
        <x:v>0</x:v>
      </x:c>
      <x:c r="P516" s="19" t="n">
        <x:f>M516-N516-O516</x:f>
        <x:v>63</x:v>
      </x:c>
    </x:row>
    <x:row r="517">
      <x:c r="A517" s="15" t="str">
        <x:v>SIM-0513</x:v>
      </x:c>
      <x:c r="B517" s="15" t="str">
        <x:v>2026-03</x:v>
      </x:c>
      <x:c r="C517" s="15" t="str">
        <x:v>Calzado</x:v>
      </x:c>
      <x:c r="D517" s="15" t="str">
        <x:v>Tienda</x:v>
      </x:c>
      <x:c r="E517" s="15" t="n">
        <x:v>1</x:v>
      </x:c>
      <x:c r="F517" s="15" t="n">
        <x:v>0</x:v>
      </x:c>
      <x:c r="G517" s="19" t="n">
        <x:v>90</x:v>
      </x:c>
      <x:c r="H517" s="19" t="n">
        <x:v>42</x:v>
      </x:c>
      <x:c r="I517" s="17" t="n">
        <x:v>0</x:v>
      </x:c>
      <x:c r="J517" s="19" t="n">
        <x:v>2</x:v>
      </x:c>
      <x:c r="K517" s="19" t="n">
        <x:f>E517*G517</x:f>
        <x:v>90</x:v>
      </x:c>
      <x:c r="L517" s="19" t="n">
        <x:f>K517*I517</x:f>
        <x:v>0</x:v>
      </x:c>
      <x:c r="M517" s="19" t="n">
        <x:f>(E517-F517)*G517*(1-I517)</x:f>
        <x:v>90</x:v>
      </x:c>
      <x:c r="N517" s="19" t="n">
        <x:f>(E517-F517)*H517</x:f>
        <x:v>42</x:v>
      </x:c>
      <x:c r="O517" s="19" t="n">
        <x:f>F517*J517</x:f>
        <x:v>0</x:v>
      </x:c>
      <x:c r="P517" s="19" t="n">
        <x:f>M517-N517-O517</x:f>
        <x:v>48</x:v>
      </x:c>
    </x:row>
    <x:row r="518">
      <x:c r="A518" s="15" t="str">
        <x:v>SIM-0514</x:v>
      </x:c>
      <x:c r="B518" s="15" t="str">
        <x:v>2026-03</x:v>
      </x:c>
      <x:c r="C518" s="15" t="str">
        <x:v>Prendas</x:v>
      </x:c>
      <x:c r="D518" s="15" t="str">
        <x:v>Tienda</x:v>
      </x:c>
      <x:c r="E518" s="15" t="n">
        <x:v>1</x:v>
      </x:c>
      <x:c r="F518" s="15" t="n">
        <x:v>0</x:v>
      </x:c>
      <x:c r="G518" s="19" t="n">
        <x:v>60</x:v>
      </x:c>
      <x:c r="H518" s="19" t="n">
        <x:v>24</x:v>
      </x:c>
      <x:c r="I518" s="17" t="n">
        <x:v>0.2</x:v>
      </x:c>
      <x:c r="J518" s="19" t="n">
        <x:v>2</x:v>
      </x:c>
      <x:c r="K518" s="19" t="n">
        <x:f>E518*G518</x:f>
        <x:v>60</x:v>
      </x:c>
      <x:c r="L518" s="19" t="n">
        <x:f>K518*I518</x:f>
        <x:v>12</x:v>
      </x:c>
      <x:c r="M518" s="19" t="n">
        <x:f>(E518-F518)*G518*(1-I518)</x:f>
        <x:v>48</x:v>
      </x:c>
      <x:c r="N518" s="19" t="n">
        <x:f>(E518-F518)*H518</x:f>
        <x:v>24</x:v>
      </x:c>
      <x:c r="O518" s="19" t="n">
        <x:f>F518*J518</x:f>
        <x:v>0</x:v>
      </x:c>
      <x:c r="P518" s="19" t="n">
        <x:f>M518-N518-O518</x:f>
        <x:v>24</x:v>
      </x:c>
    </x:row>
    <x:row r="519">
      <x:c r="A519" s="15" t="str">
        <x:v>SIM-0515</x:v>
      </x:c>
      <x:c r="B519" s="15" t="str">
        <x:v>2026-03</x:v>
      </x:c>
      <x:c r="C519" s="15" t="str">
        <x:v>Accesorios</x:v>
      </x:c>
      <x:c r="D519" s="15" t="str">
        <x:v>Online</x:v>
      </x:c>
      <x:c r="E519" s="15" t="n">
        <x:v>2</x:v>
      </x:c>
      <x:c r="F519" s="15" t="n">
        <x:v>0</x:v>
      </x:c>
      <x:c r="G519" s="19" t="n">
        <x:v>30</x:v>
      </x:c>
      <x:c r="H519" s="19" t="n">
        <x:v>9</x:v>
      </x:c>
      <x:c r="I519" s="17" t="n">
        <x:v>0.1</x:v>
      </x:c>
      <x:c r="J519" s="19" t="n">
        <x:v>6</x:v>
      </x:c>
      <x:c r="K519" s="19" t="n">
        <x:f>E519*G519</x:f>
        <x:v>60</x:v>
      </x:c>
      <x:c r="L519" s="19" t="n">
        <x:f>K519*I519</x:f>
        <x:v>6</x:v>
      </x:c>
      <x:c r="M519" s="19" t="n">
        <x:f>(E519-F519)*G519*(1-I519)</x:f>
        <x:v>54</x:v>
      </x:c>
      <x:c r="N519" s="19" t="n">
        <x:f>(E519-F519)*H519</x:f>
        <x:v>18</x:v>
      </x:c>
      <x:c r="O519" s="19" t="n">
        <x:f>F519*J519</x:f>
        <x:v>0</x:v>
      </x:c>
      <x:c r="P519" s="19" t="n">
        <x:f>M519-N519-O519</x:f>
        <x:v>36</x:v>
      </x:c>
    </x:row>
    <x:row r="520">
      <x:c r="A520" s="15" t="str">
        <x:v>SIM-0516</x:v>
      </x:c>
      <x:c r="B520" s="15" t="str">
        <x:v>2026-03</x:v>
      </x:c>
      <x:c r="C520" s="15" t="str">
        <x:v>Calzado</x:v>
      </x:c>
      <x:c r="D520" s="15" t="str">
        <x:v>Tienda</x:v>
      </x:c>
      <x:c r="E520" s="15" t="n">
        <x:v>2</x:v>
      </x:c>
      <x:c r="F520" s="15" t="n">
        <x:v>0</x:v>
      </x:c>
      <x:c r="G520" s="19" t="n">
        <x:v>90</x:v>
      </x:c>
      <x:c r="H520" s="19" t="n">
        <x:v>42</x:v>
      </x:c>
      <x:c r="I520" s="17" t="n">
        <x:v>0.2</x:v>
      </x:c>
      <x:c r="J520" s="19" t="n">
        <x:v>2</x:v>
      </x:c>
      <x:c r="K520" s="19" t="n">
        <x:f>E520*G520</x:f>
        <x:v>180</x:v>
      </x:c>
      <x:c r="L520" s="19" t="n">
        <x:f>K520*I520</x:f>
        <x:v>36</x:v>
      </x:c>
      <x:c r="M520" s="19" t="n">
        <x:f>(E520-F520)*G520*(1-I520)</x:f>
        <x:v>144</x:v>
      </x:c>
      <x:c r="N520" s="19" t="n">
        <x:f>(E520-F520)*H520</x:f>
        <x:v>84</x:v>
      </x:c>
      <x:c r="O520" s="19" t="n">
        <x:f>F520*J520</x:f>
        <x:v>0</x:v>
      </x:c>
      <x:c r="P520" s="19" t="n">
        <x:f>M520-N520-O520</x:f>
        <x:v>60</x:v>
      </x:c>
    </x:row>
    <x:row r="521">
      <x:c r="A521" s="15" t="str">
        <x:v>SIM-0517</x:v>
      </x:c>
      <x:c r="B521" s="15" t="str">
        <x:v>2026-03</x:v>
      </x:c>
      <x:c r="C521" s="15" t="str">
        <x:v>Calzado</x:v>
      </x:c>
      <x:c r="D521" s="15" t="str">
        <x:v>Tienda</x:v>
      </x:c>
      <x:c r="E521" s="15" t="n">
        <x:v>1</x:v>
      </x:c>
      <x:c r="F521" s="15" t="n">
        <x:v>0</x:v>
      </x:c>
      <x:c r="G521" s="19" t="n">
        <x:v>90</x:v>
      </x:c>
      <x:c r="H521" s="19" t="n">
        <x:v>42</x:v>
      </x:c>
      <x:c r="I521" s="17" t="n">
        <x:v>0</x:v>
      </x:c>
      <x:c r="J521" s="19" t="n">
        <x:v>2</x:v>
      </x:c>
      <x:c r="K521" s="19" t="n">
        <x:f>E521*G521</x:f>
        <x:v>90</x:v>
      </x:c>
      <x:c r="L521" s="19" t="n">
        <x:f>K521*I521</x:f>
        <x:v>0</x:v>
      </x:c>
      <x:c r="M521" s="19" t="n">
        <x:f>(E521-F521)*G521*(1-I521)</x:f>
        <x:v>90</x:v>
      </x:c>
      <x:c r="N521" s="19" t="n">
        <x:f>(E521-F521)*H521</x:f>
        <x:v>42</x:v>
      </x:c>
      <x:c r="O521" s="19" t="n">
        <x:f>F521*J521</x:f>
        <x:v>0</x:v>
      </x:c>
      <x:c r="P521" s="19" t="n">
        <x:f>M521-N521-O521</x:f>
        <x:v>48</x:v>
      </x:c>
    </x:row>
    <x:row r="522">
      <x:c r="A522" s="15" t="str">
        <x:v>SIM-0518</x:v>
      </x:c>
      <x:c r="B522" s="15" t="str">
        <x:v>2026-03</x:v>
      </x:c>
      <x:c r="C522" s="15" t="str">
        <x:v>Calzado</x:v>
      </x:c>
      <x:c r="D522" s="15" t="str">
        <x:v>Online</x:v>
      </x:c>
      <x:c r="E522" s="15" t="n">
        <x:v>1</x:v>
      </x:c>
      <x:c r="F522" s="15" t="n">
        <x:v>1</x:v>
      </x:c>
      <x:c r="G522" s="19" t="n">
        <x:v>90</x:v>
      </x:c>
      <x:c r="H522" s="19" t="n">
        <x:v>42</x:v>
      </x:c>
      <x:c r="I522" s="17" t="n">
        <x:v>0.3</x:v>
      </x:c>
      <x:c r="J522" s="19" t="n">
        <x:v>6</x:v>
      </x:c>
      <x:c r="K522" s="19" t="n">
        <x:f>E522*G522</x:f>
        <x:v>90</x:v>
      </x:c>
      <x:c r="L522" s="19" t="n">
        <x:f>K522*I522</x:f>
        <x:v>27</x:v>
      </x:c>
      <x:c r="M522" s="19" t="n">
        <x:f>(E522-F522)*G522*(1-I522)</x:f>
        <x:v>0</x:v>
      </x:c>
      <x:c r="N522" s="19" t="n">
        <x:f>(E522-F522)*H522</x:f>
        <x:v>0</x:v>
      </x:c>
      <x:c r="O522" s="19" t="n">
        <x:f>F522*J522</x:f>
        <x:v>6</x:v>
      </x:c>
      <x:c r="P522" s="19" t="n">
        <x:f>M522-N522-O522</x:f>
        <x:v>-6</x:v>
      </x:c>
    </x:row>
    <x:row r="523">
      <x:c r="A523" s="15" t="str">
        <x:v>SIM-0519</x:v>
      </x:c>
      <x:c r="B523" s="15" t="str">
        <x:v>2026-03</x:v>
      </x:c>
      <x:c r="C523" s="15" t="str">
        <x:v>Prendas</x:v>
      </x:c>
      <x:c r="D523" s="15" t="str">
        <x:v>Online</x:v>
      </x:c>
      <x:c r="E523" s="15" t="n">
        <x:v>1</x:v>
      </x:c>
      <x:c r="F523" s="15" t="n">
        <x:v>0</x:v>
      </x:c>
      <x:c r="G523" s="19" t="n">
        <x:v>60</x:v>
      </x:c>
      <x:c r="H523" s="19" t="n">
        <x:v>24</x:v>
      </x:c>
      <x:c r="I523" s="17" t="n">
        <x:v>0</x:v>
      </x:c>
      <x:c r="J523" s="19" t="n">
        <x:v>6</x:v>
      </x:c>
      <x:c r="K523" s="19" t="n">
        <x:f>E523*G523</x:f>
        <x:v>60</x:v>
      </x:c>
      <x:c r="L523" s="19" t="n">
        <x:f>K523*I523</x:f>
        <x:v>0</x:v>
      </x:c>
      <x:c r="M523" s="19" t="n">
        <x:f>(E523-F523)*G523*(1-I523)</x:f>
        <x:v>60</x:v>
      </x:c>
      <x:c r="N523" s="19" t="n">
        <x:f>(E523-F523)*H523</x:f>
        <x:v>24</x:v>
      </x:c>
      <x:c r="O523" s="19" t="n">
        <x:f>F523*J523</x:f>
        <x:v>0</x:v>
      </x:c>
      <x:c r="P523" s="19" t="n">
        <x:f>M523-N523-O523</x:f>
        <x:v>36</x:v>
      </x:c>
    </x:row>
    <x:row r="524">
      <x:c r="A524" s="15" t="str">
        <x:v>SIM-0520</x:v>
      </x:c>
      <x:c r="B524" s="15" t="str">
        <x:v>2026-03</x:v>
      </x:c>
      <x:c r="C524" s="15" t="str">
        <x:v>Calzado</x:v>
      </x:c>
      <x:c r="D524" s="15" t="str">
        <x:v>Tienda</x:v>
      </x:c>
      <x:c r="E524" s="15" t="n">
        <x:v>3</x:v>
      </x:c>
      <x:c r="F524" s="15" t="n">
        <x:v>0</x:v>
      </x:c>
      <x:c r="G524" s="19" t="n">
        <x:v>90</x:v>
      </x:c>
      <x:c r="H524" s="19" t="n">
        <x:v>42</x:v>
      </x:c>
      <x:c r="I524" s="17" t="n">
        <x:v>0</x:v>
      </x:c>
      <x:c r="J524" s="19" t="n">
        <x:v>2</x:v>
      </x:c>
      <x:c r="K524" s="19" t="n">
        <x:f>E524*G524</x:f>
        <x:v>270</x:v>
      </x:c>
      <x:c r="L524" s="19" t="n">
        <x:f>K524*I524</x:f>
        <x:v>0</x:v>
      </x:c>
      <x:c r="M524" s="19" t="n">
        <x:f>(E524-F524)*G524*(1-I524)</x:f>
        <x:v>270</x:v>
      </x:c>
      <x:c r="N524" s="19" t="n">
        <x:f>(E524-F524)*H524</x:f>
        <x:v>126</x:v>
      </x:c>
      <x:c r="O524" s="19" t="n">
        <x:f>F524*J524</x:f>
        <x:v>0</x:v>
      </x:c>
      <x:c r="P524" s="19" t="n">
        <x:f>M524-N524-O524</x:f>
        <x:v>144</x:v>
      </x:c>
    </x:row>
    <x:row r="525">
      <x:c r="A525" s="15" t="str">
        <x:v>SIM-0521</x:v>
      </x:c>
      <x:c r="B525" s="15" t="str">
        <x:v>2026-03</x:v>
      </x:c>
      <x:c r="C525" s="15" t="str">
        <x:v>Calzado</x:v>
      </x:c>
      <x:c r="D525" s="15" t="str">
        <x:v>Online</x:v>
      </x:c>
      <x:c r="E525" s="15" t="n">
        <x:v>1</x:v>
      </x:c>
      <x:c r="F525" s="15" t="n">
        <x:v>0</x:v>
      </x:c>
      <x:c r="G525" s="19" t="n">
        <x:v>90</x:v>
      </x:c>
      <x:c r="H525" s="19" t="n">
        <x:v>42</x:v>
      </x:c>
      <x:c r="I525" s="17" t="n">
        <x:v>0.3</x:v>
      </x:c>
      <x:c r="J525" s="19" t="n">
        <x:v>6</x:v>
      </x:c>
      <x:c r="K525" s="19" t="n">
        <x:f>E525*G525</x:f>
        <x:v>90</x:v>
      </x:c>
      <x:c r="L525" s="19" t="n">
        <x:f>K525*I525</x:f>
        <x:v>27</x:v>
      </x:c>
      <x:c r="M525" s="19" t="n">
        <x:f>(E525-F525)*G525*(1-I525)</x:f>
        <x:v>62.99999999999999</x:v>
      </x:c>
      <x:c r="N525" s="19" t="n">
        <x:f>(E525-F525)*H525</x:f>
        <x:v>42</x:v>
      </x:c>
      <x:c r="O525" s="19" t="n">
        <x:f>F525*J525</x:f>
        <x:v>0</x:v>
      </x:c>
      <x:c r="P525" s="19" t="n">
        <x:f>M525-N525-O525</x:f>
        <x:v>20.999999999999993</x:v>
      </x:c>
    </x:row>
    <x:row r="526">
      <x:c r="A526" s="15" t="str">
        <x:v>SIM-0522</x:v>
      </x:c>
      <x:c r="B526" s="15" t="str">
        <x:v>2026-03</x:v>
      </x:c>
      <x:c r="C526" s="15" t="str">
        <x:v>Prendas</x:v>
      </x:c>
      <x:c r="D526" s="15" t="str">
        <x:v>Tienda</x:v>
      </x:c>
      <x:c r="E526" s="15" t="n">
        <x:v>1</x:v>
      </x:c>
      <x:c r="F526" s="15" t="n">
        <x:v>0</x:v>
      </x:c>
      <x:c r="G526" s="19" t="n">
        <x:v>60</x:v>
      </x:c>
      <x:c r="H526" s="19" t="n">
        <x:v>24</x:v>
      </x:c>
      <x:c r="I526" s="17" t="n">
        <x:v>0.2</x:v>
      </x:c>
      <x:c r="J526" s="19" t="n">
        <x:v>2</x:v>
      </x:c>
      <x:c r="K526" s="19" t="n">
        <x:f>E526*G526</x:f>
        <x:v>60</x:v>
      </x:c>
      <x:c r="L526" s="19" t="n">
        <x:f>K526*I526</x:f>
        <x:v>12</x:v>
      </x:c>
      <x:c r="M526" s="19" t="n">
        <x:f>(E526-F526)*G526*(1-I526)</x:f>
        <x:v>48</x:v>
      </x:c>
      <x:c r="N526" s="19" t="n">
        <x:f>(E526-F526)*H526</x:f>
        <x:v>24</x:v>
      </x:c>
      <x:c r="O526" s="19" t="n">
        <x:f>F526*J526</x:f>
        <x:v>0</x:v>
      </x:c>
      <x:c r="P526" s="19" t="n">
        <x:f>M526-N526-O526</x:f>
        <x:v>24</x:v>
      </x:c>
    </x:row>
    <x:row r="527">
      <x:c r="A527" s="15" t="str">
        <x:v>SIM-0523</x:v>
      </x:c>
      <x:c r="B527" s="15" t="str">
        <x:v>2026-03</x:v>
      </x:c>
      <x:c r="C527" s="15" t="str">
        <x:v>Calzado</x:v>
      </x:c>
      <x:c r="D527" s="15" t="str">
        <x:v>Online</x:v>
      </x:c>
      <x:c r="E527" s="15" t="n">
        <x:v>1</x:v>
      </x:c>
      <x:c r="F527" s="15" t="n">
        <x:v>1</x:v>
      </x:c>
      <x:c r="G527" s="19" t="n">
        <x:v>90</x:v>
      </x:c>
      <x:c r="H527" s="19" t="n">
        <x:v>42</x:v>
      </x:c>
      <x:c r="I527" s="17" t="n">
        <x:v>0.1</x:v>
      </x:c>
      <x:c r="J527" s="19" t="n">
        <x:v>6</x:v>
      </x:c>
      <x:c r="K527" s="19" t="n">
        <x:f>E527*G527</x:f>
        <x:v>90</x:v>
      </x:c>
      <x:c r="L527" s="19" t="n">
        <x:f>K527*I527</x:f>
        <x:v>9</x:v>
      </x:c>
      <x:c r="M527" s="19" t="n">
        <x:f>(E527-F527)*G527*(1-I527)</x:f>
        <x:v>0</x:v>
      </x:c>
      <x:c r="N527" s="19" t="n">
        <x:f>(E527-F527)*H527</x:f>
        <x:v>0</x:v>
      </x:c>
      <x:c r="O527" s="19" t="n">
        <x:f>F527*J527</x:f>
        <x:v>6</x:v>
      </x:c>
      <x:c r="P527" s="19" t="n">
        <x:f>M527-N527-O527</x:f>
        <x:v>-6</x:v>
      </x:c>
    </x:row>
    <x:row r="528">
      <x:c r="A528" s="15" t="str">
        <x:v>SIM-0524</x:v>
      </x:c>
      <x:c r="B528" s="15" t="str">
        <x:v>2026-03</x:v>
      </x:c>
      <x:c r="C528" s="15" t="str">
        <x:v>Prendas</x:v>
      </x:c>
      <x:c r="D528" s="15" t="str">
        <x:v>Online</x:v>
      </x:c>
      <x:c r="E528" s="15" t="n">
        <x:v>1</x:v>
      </x:c>
      <x:c r="F528" s="15" t="n">
        <x:v>1</x:v>
      </x:c>
      <x:c r="G528" s="19" t="n">
        <x:v>60</x:v>
      </x:c>
      <x:c r="H528" s="19" t="n">
        <x:v>24</x:v>
      </x:c>
      <x:c r="I528" s="17" t="n">
        <x:v>0.1</x:v>
      </x:c>
      <x:c r="J528" s="19" t="n">
        <x:v>6</x:v>
      </x:c>
      <x:c r="K528" s="19" t="n">
        <x:f>E528*G528</x:f>
        <x:v>60</x:v>
      </x:c>
      <x:c r="L528" s="19" t="n">
        <x:f>K528*I528</x:f>
        <x:v>6</x:v>
      </x:c>
      <x:c r="M528" s="19" t="n">
        <x:f>(E528-F528)*G528*(1-I528)</x:f>
        <x:v>0</x:v>
      </x:c>
      <x:c r="N528" s="19" t="n">
        <x:f>(E528-F528)*H528</x:f>
        <x:v>0</x:v>
      </x:c>
      <x:c r="O528" s="19" t="n">
        <x:f>F528*J528</x:f>
        <x:v>6</x:v>
      </x:c>
      <x:c r="P528" s="19" t="n">
        <x:f>M528-N528-O528</x:f>
        <x:v>-6</x:v>
      </x:c>
    </x:row>
    <x:row r="529">
      <x:c r="A529" s="15" t="str">
        <x:v>SIM-0525</x:v>
      </x:c>
      <x:c r="B529" s="15" t="str">
        <x:v>2026-03</x:v>
      </x:c>
      <x:c r="C529" s="15" t="str">
        <x:v>Prendas</x:v>
      </x:c>
      <x:c r="D529" s="15" t="str">
        <x:v>Tienda</x:v>
      </x:c>
      <x:c r="E529" s="15" t="n">
        <x:v>1</x:v>
      </x:c>
      <x:c r="F529" s="15" t="n">
        <x:v>0</x:v>
      </x:c>
      <x:c r="G529" s="19" t="n">
        <x:v>60</x:v>
      </x:c>
      <x:c r="H529" s="19" t="n">
        <x:v>24</x:v>
      </x:c>
      <x:c r="I529" s="17" t="n">
        <x:v>0.3</x:v>
      </x:c>
      <x:c r="J529" s="19" t="n">
        <x:v>2</x:v>
      </x:c>
      <x:c r="K529" s="19" t="n">
        <x:f>E529*G529</x:f>
        <x:v>60</x:v>
      </x:c>
      <x:c r="L529" s="19" t="n">
        <x:f>K529*I529</x:f>
        <x:v>18</x:v>
      </x:c>
      <x:c r="M529" s="19" t="n">
        <x:f>(E529-F529)*G529*(1-I529)</x:f>
        <x:v>42</x:v>
      </x:c>
      <x:c r="N529" s="19" t="n">
        <x:f>(E529-F529)*H529</x:f>
        <x:v>24</x:v>
      </x:c>
      <x:c r="O529" s="19" t="n">
        <x:f>F529*J529</x:f>
        <x:v>0</x:v>
      </x:c>
      <x:c r="P529" s="19" t="n">
        <x:f>M529-N529-O529</x:f>
        <x:v>18</x:v>
      </x:c>
    </x:row>
    <x:row r="530">
      <x:c r="A530" s="15" t="str">
        <x:v>SIM-0526</x:v>
      </x:c>
      <x:c r="B530" s="15" t="str">
        <x:v>2026-03</x:v>
      </x:c>
      <x:c r="C530" s="15" t="str">
        <x:v>Prendas</x:v>
      </x:c>
      <x:c r="D530" s="15" t="str">
        <x:v>Online</x:v>
      </x:c>
      <x:c r="E530" s="15" t="n">
        <x:v>1</x:v>
      </x:c>
      <x:c r="F530" s="15" t="n">
        <x:v>0</x:v>
      </x:c>
      <x:c r="G530" s="19" t="n">
        <x:v>60</x:v>
      </x:c>
      <x:c r="H530" s="19" t="n">
        <x:v>24</x:v>
      </x:c>
      <x:c r="I530" s="17" t="n">
        <x:v>0</x:v>
      </x:c>
      <x:c r="J530" s="19" t="n">
        <x:v>6</x:v>
      </x:c>
      <x:c r="K530" s="19" t="n">
        <x:f>E530*G530</x:f>
        <x:v>60</x:v>
      </x:c>
      <x:c r="L530" s="19" t="n">
        <x:f>K530*I530</x:f>
        <x:v>0</x:v>
      </x:c>
      <x:c r="M530" s="19" t="n">
        <x:f>(E530-F530)*G530*(1-I530)</x:f>
        <x:v>60</x:v>
      </x:c>
      <x:c r="N530" s="19" t="n">
        <x:f>(E530-F530)*H530</x:f>
        <x:v>24</x:v>
      </x:c>
      <x:c r="O530" s="19" t="n">
        <x:f>F530*J530</x:f>
        <x:v>0</x:v>
      </x:c>
      <x:c r="P530" s="19" t="n">
        <x:f>M530-N530-O530</x:f>
        <x:v>36</x:v>
      </x:c>
    </x:row>
    <x:row r="531">
      <x:c r="A531" s="15" t="str">
        <x:v>SIM-0527</x:v>
      </x:c>
      <x:c r="B531" s="15" t="str">
        <x:v>2026-03</x:v>
      </x:c>
      <x:c r="C531" s="15" t="str">
        <x:v>Prendas</x:v>
      </x:c>
      <x:c r="D531" s="15" t="str">
        <x:v>Tienda</x:v>
      </x:c>
      <x:c r="E531" s="15" t="n">
        <x:v>1</x:v>
      </x:c>
      <x:c r="F531" s="15" t="n">
        <x:v>0</x:v>
      </x:c>
      <x:c r="G531" s="19" t="n">
        <x:v>60</x:v>
      </x:c>
      <x:c r="H531" s="19" t="n">
        <x:v>24</x:v>
      </x:c>
      <x:c r="I531" s="17" t="n">
        <x:v>0</x:v>
      </x:c>
      <x:c r="J531" s="19" t="n">
        <x:v>2</x:v>
      </x:c>
      <x:c r="K531" s="19" t="n">
        <x:f>E531*G531</x:f>
        <x:v>60</x:v>
      </x:c>
      <x:c r="L531" s="19" t="n">
        <x:f>K531*I531</x:f>
        <x:v>0</x:v>
      </x:c>
      <x:c r="M531" s="19" t="n">
        <x:f>(E531-F531)*G531*(1-I531)</x:f>
        <x:v>60</x:v>
      </x:c>
      <x:c r="N531" s="19" t="n">
        <x:f>(E531-F531)*H531</x:f>
        <x:v>24</x:v>
      </x:c>
      <x:c r="O531" s="19" t="n">
        <x:f>F531*J531</x:f>
        <x:v>0</x:v>
      </x:c>
      <x:c r="P531" s="19" t="n">
        <x:f>M531-N531-O531</x:f>
        <x:v>36</x:v>
      </x:c>
    </x:row>
    <x:row r="532">
      <x:c r="A532" s="15" t="str">
        <x:v>SIM-0528</x:v>
      </x:c>
      <x:c r="B532" s="15" t="str">
        <x:v>2026-03</x:v>
      </x:c>
      <x:c r="C532" s="15" t="str">
        <x:v>Accesorios</x:v>
      </x:c>
      <x:c r="D532" s="15" t="str">
        <x:v>Online</x:v>
      </x:c>
      <x:c r="E532" s="15" t="n">
        <x:v>1</x:v>
      </x:c>
      <x:c r="F532" s="15" t="n">
        <x:v>0</x:v>
      </x:c>
      <x:c r="G532" s="19" t="n">
        <x:v>30</x:v>
      </x:c>
      <x:c r="H532" s="19" t="n">
        <x:v>9</x:v>
      </x:c>
      <x:c r="I532" s="17" t="n">
        <x:v>0</x:v>
      </x:c>
      <x:c r="J532" s="19" t="n">
        <x:v>6</x:v>
      </x:c>
      <x:c r="K532" s="19" t="n">
        <x:f>E532*G532</x:f>
        <x:v>30</x:v>
      </x:c>
      <x:c r="L532" s="19" t="n">
        <x:f>K532*I532</x:f>
        <x:v>0</x:v>
      </x:c>
      <x:c r="M532" s="19" t="n">
        <x:f>(E532-F532)*G532*(1-I532)</x:f>
        <x:v>30</x:v>
      </x:c>
      <x:c r="N532" s="19" t="n">
        <x:f>(E532-F532)*H532</x:f>
        <x:v>9</x:v>
      </x:c>
      <x:c r="O532" s="19" t="n">
        <x:f>F532*J532</x:f>
        <x:v>0</x:v>
      </x:c>
      <x:c r="P532" s="19" t="n">
        <x:f>M532-N532-O532</x:f>
        <x:v>21</x:v>
      </x:c>
    </x:row>
    <x:row r="533">
      <x:c r="A533" s="15" t="str">
        <x:v>SIM-0529</x:v>
      </x:c>
      <x:c r="B533" s="15" t="str">
        <x:v>2026-03</x:v>
      </x:c>
      <x:c r="C533" s="15" t="str">
        <x:v>Prendas</x:v>
      </x:c>
      <x:c r="D533" s="15" t="str">
        <x:v>Online</x:v>
      </x:c>
      <x:c r="E533" s="15" t="n">
        <x:v>1</x:v>
      </x:c>
      <x:c r="F533" s="15" t="n">
        <x:v>0</x:v>
      </x:c>
      <x:c r="G533" s="19" t="n">
        <x:v>60</x:v>
      </x:c>
      <x:c r="H533" s="19" t="n">
        <x:v>24</x:v>
      </x:c>
      <x:c r="I533" s="17" t="n">
        <x:v>0</x:v>
      </x:c>
      <x:c r="J533" s="19" t="n">
        <x:v>6</x:v>
      </x:c>
      <x:c r="K533" s="19" t="n">
        <x:f>E533*G533</x:f>
        <x:v>60</x:v>
      </x:c>
      <x:c r="L533" s="19" t="n">
        <x:f>K533*I533</x:f>
        <x:v>0</x:v>
      </x:c>
      <x:c r="M533" s="19" t="n">
        <x:f>(E533-F533)*G533*(1-I533)</x:f>
        <x:v>60</x:v>
      </x:c>
      <x:c r="N533" s="19" t="n">
        <x:f>(E533-F533)*H533</x:f>
        <x:v>24</x:v>
      </x:c>
      <x:c r="O533" s="19" t="n">
        <x:f>F533*J533</x:f>
        <x:v>0</x:v>
      </x:c>
      <x:c r="P533" s="19" t="n">
        <x:f>M533-N533-O533</x:f>
        <x:v>36</x:v>
      </x:c>
    </x:row>
    <x:row r="534">
      <x:c r="A534" s="15" t="str">
        <x:v>SIM-0530</x:v>
      </x:c>
      <x:c r="B534" s="15" t="str">
        <x:v>2026-03</x:v>
      </x:c>
      <x:c r="C534" s="15" t="str">
        <x:v>Prendas</x:v>
      </x:c>
      <x:c r="D534" s="15" t="str">
        <x:v>Tienda</x:v>
      </x:c>
      <x:c r="E534" s="15" t="n">
        <x:v>1</x:v>
      </x:c>
      <x:c r="F534" s="15" t="n">
        <x:v>0</x:v>
      </x:c>
      <x:c r="G534" s="19" t="n">
        <x:v>60</x:v>
      </x:c>
      <x:c r="H534" s="19" t="n">
        <x:v>24</x:v>
      </x:c>
      <x:c r="I534" s="17" t="n">
        <x:v>0.3</x:v>
      </x:c>
      <x:c r="J534" s="19" t="n">
        <x:v>2</x:v>
      </x:c>
      <x:c r="K534" s="19" t="n">
        <x:f>E534*G534</x:f>
        <x:v>60</x:v>
      </x:c>
      <x:c r="L534" s="19" t="n">
        <x:f>K534*I534</x:f>
        <x:v>18</x:v>
      </x:c>
      <x:c r="M534" s="19" t="n">
        <x:f>(E534-F534)*G534*(1-I534)</x:f>
        <x:v>42</x:v>
      </x:c>
      <x:c r="N534" s="19" t="n">
        <x:f>(E534-F534)*H534</x:f>
        <x:v>24</x:v>
      </x:c>
      <x:c r="O534" s="19" t="n">
        <x:f>F534*J534</x:f>
        <x:v>0</x:v>
      </x:c>
      <x:c r="P534" s="19" t="n">
        <x:f>M534-N534-O534</x:f>
        <x:v>18</x:v>
      </x:c>
    </x:row>
    <x:row r="535">
      <x:c r="A535" s="15" t="str">
        <x:v>SIM-0531</x:v>
      </x:c>
      <x:c r="B535" s="15" t="str">
        <x:v>2026-03</x:v>
      </x:c>
      <x:c r="C535" s="15" t="str">
        <x:v>Prendas</x:v>
      </x:c>
      <x:c r="D535" s="15" t="str">
        <x:v>Tienda</x:v>
      </x:c>
      <x:c r="E535" s="15" t="n">
        <x:v>1</x:v>
      </x:c>
      <x:c r="F535" s="15" t="n">
        <x:v>0</x:v>
      </x:c>
      <x:c r="G535" s="19" t="n">
        <x:v>60</x:v>
      </x:c>
      <x:c r="H535" s="19" t="n">
        <x:v>24</x:v>
      </x:c>
      <x:c r="I535" s="17" t="n">
        <x:v>0</x:v>
      </x:c>
      <x:c r="J535" s="19" t="n">
        <x:v>2</x:v>
      </x:c>
      <x:c r="K535" s="19" t="n">
        <x:f>E535*G535</x:f>
        <x:v>60</x:v>
      </x:c>
      <x:c r="L535" s="19" t="n">
        <x:f>K535*I535</x:f>
        <x:v>0</x:v>
      </x:c>
      <x:c r="M535" s="19" t="n">
        <x:f>(E535-F535)*G535*(1-I535)</x:f>
        <x:v>60</x:v>
      </x:c>
      <x:c r="N535" s="19" t="n">
        <x:f>(E535-F535)*H535</x:f>
        <x:v>24</x:v>
      </x:c>
      <x:c r="O535" s="19" t="n">
        <x:f>F535*J535</x:f>
        <x:v>0</x:v>
      </x:c>
      <x:c r="P535" s="19" t="n">
        <x:f>M535-N535-O535</x:f>
        <x:v>36</x:v>
      </x:c>
    </x:row>
    <x:row r="536">
      <x:c r="A536" s="15" t="str">
        <x:v>SIM-0532</x:v>
      </x:c>
      <x:c r="B536" s="15" t="str">
        <x:v>2026-03</x:v>
      </x:c>
      <x:c r="C536" s="15" t="str">
        <x:v>Accesorios</x:v>
      </x:c>
      <x:c r="D536" s="15" t="str">
        <x:v>Online</x:v>
      </x:c>
      <x:c r="E536" s="15" t="n">
        <x:v>1</x:v>
      </x:c>
      <x:c r="F536" s="15" t="n">
        <x:v>0</x:v>
      </x:c>
      <x:c r="G536" s="19" t="n">
        <x:v>30</x:v>
      </x:c>
      <x:c r="H536" s="19" t="n">
        <x:v>9</x:v>
      </x:c>
      <x:c r="I536" s="17" t="n">
        <x:v>0.3</x:v>
      </x:c>
      <x:c r="J536" s="19" t="n">
        <x:v>6</x:v>
      </x:c>
      <x:c r="K536" s="19" t="n">
        <x:f>E536*G536</x:f>
        <x:v>30</x:v>
      </x:c>
      <x:c r="L536" s="19" t="n">
        <x:f>K536*I536</x:f>
        <x:v>9</x:v>
      </x:c>
      <x:c r="M536" s="19" t="n">
        <x:f>(E536-F536)*G536*(1-I536)</x:f>
        <x:v>21</x:v>
      </x:c>
      <x:c r="N536" s="19" t="n">
        <x:f>(E536-F536)*H536</x:f>
        <x:v>9</x:v>
      </x:c>
      <x:c r="O536" s="19" t="n">
        <x:f>F536*J536</x:f>
        <x:v>0</x:v>
      </x:c>
      <x:c r="P536" s="19" t="n">
        <x:f>M536-N536-O536</x:f>
        <x:v>12</x:v>
      </x:c>
    </x:row>
    <x:row r="537">
      <x:c r="A537" s="15" t="str">
        <x:v>SIM-0533</x:v>
      </x:c>
      <x:c r="B537" s="15" t="str">
        <x:v>2026-03</x:v>
      </x:c>
      <x:c r="C537" s="15" t="str">
        <x:v>Calzado</x:v>
      </x:c>
      <x:c r="D537" s="15" t="str">
        <x:v>Tienda</x:v>
      </x:c>
      <x:c r="E537" s="15" t="n">
        <x:v>1</x:v>
      </x:c>
      <x:c r="F537" s="15" t="n">
        <x:v>0</x:v>
      </x:c>
      <x:c r="G537" s="19" t="n">
        <x:v>90</x:v>
      </x:c>
      <x:c r="H537" s="19" t="n">
        <x:v>42</x:v>
      </x:c>
      <x:c r="I537" s="17" t="n">
        <x:v>0.3</x:v>
      </x:c>
      <x:c r="J537" s="19" t="n">
        <x:v>2</x:v>
      </x:c>
      <x:c r="K537" s="19" t="n">
        <x:f>E537*G537</x:f>
        <x:v>90</x:v>
      </x:c>
      <x:c r="L537" s="19" t="n">
        <x:f>K537*I537</x:f>
        <x:v>27</x:v>
      </x:c>
      <x:c r="M537" s="19" t="n">
        <x:f>(E537-F537)*G537*(1-I537)</x:f>
        <x:v>62.99999999999999</x:v>
      </x:c>
      <x:c r="N537" s="19" t="n">
        <x:f>(E537-F537)*H537</x:f>
        <x:v>42</x:v>
      </x:c>
      <x:c r="O537" s="19" t="n">
        <x:f>F537*J537</x:f>
        <x:v>0</x:v>
      </x:c>
      <x:c r="P537" s="19" t="n">
        <x:f>M537-N537-O537</x:f>
        <x:v>20.999999999999993</x:v>
      </x:c>
    </x:row>
    <x:row r="538">
      <x:c r="A538" s="15" t="str">
        <x:v>SIM-0534</x:v>
      </x:c>
      <x:c r="B538" s="15" t="str">
        <x:v>2026-03</x:v>
      </x:c>
      <x:c r="C538" s="15" t="str">
        <x:v>Calzado</x:v>
      </x:c>
      <x:c r="D538" s="15" t="str">
        <x:v>Tienda</x:v>
      </x:c>
      <x:c r="E538" s="15" t="n">
        <x:v>1</x:v>
      </x:c>
      <x:c r="F538" s="15" t="n">
        <x:v>0</x:v>
      </x:c>
      <x:c r="G538" s="19" t="n">
        <x:v>90</x:v>
      </x:c>
      <x:c r="H538" s="19" t="n">
        <x:v>42</x:v>
      </x:c>
      <x:c r="I538" s="17" t="n">
        <x:v>0.1</x:v>
      </x:c>
      <x:c r="J538" s="19" t="n">
        <x:v>2</x:v>
      </x:c>
      <x:c r="K538" s="19" t="n">
        <x:f>E538*G538</x:f>
        <x:v>90</x:v>
      </x:c>
      <x:c r="L538" s="19" t="n">
        <x:f>K538*I538</x:f>
        <x:v>9</x:v>
      </x:c>
      <x:c r="M538" s="19" t="n">
        <x:f>(E538-F538)*G538*(1-I538)</x:f>
        <x:v>81</x:v>
      </x:c>
      <x:c r="N538" s="19" t="n">
        <x:f>(E538-F538)*H538</x:f>
        <x:v>42</x:v>
      </x:c>
      <x:c r="O538" s="19" t="n">
        <x:f>F538*J538</x:f>
        <x:v>0</x:v>
      </x:c>
      <x:c r="P538" s="19" t="n">
        <x:f>M538-N538-O538</x:f>
        <x:v>39</x:v>
      </x:c>
    </x:row>
    <x:row r="539">
      <x:c r="A539" s="15" t="str">
        <x:v>SIM-0535</x:v>
      </x:c>
      <x:c r="B539" s="15" t="str">
        <x:v>2026-03</x:v>
      </x:c>
      <x:c r="C539" s="15" t="str">
        <x:v>Calzado</x:v>
      </x:c>
      <x:c r="D539" s="15" t="str">
        <x:v>Online</x:v>
      </x:c>
      <x:c r="E539" s="15" t="n">
        <x:v>1</x:v>
      </x:c>
      <x:c r="F539" s="15" t="n">
        <x:v>0</x:v>
      </x:c>
      <x:c r="G539" s="19" t="n">
        <x:v>90</x:v>
      </x:c>
      <x:c r="H539" s="19" t="n">
        <x:v>42</x:v>
      </x:c>
      <x:c r="I539" s="17" t="n">
        <x:v>0</x:v>
      </x:c>
      <x:c r="J539" s="19" t="n">
        <x:v>6</x:v>
      </x:c>
      <x:c r="K539" s="19" t="n">
        <x:f>E539*G539</x:f>
        <x:v>90</x:v>
      </x:c>
      <x:c r="L539" s="19" t="n">
        <x:f>K539*I539</x:f>
        <x:v>0</x:v>
      </x:c>
      <x:c r="M539" s="19" t="n">
        <x:f>(E539-F539)*G539*(1-I539)</x:f>
        <x:v>90</x:v>
      </x:c>
      <x:c r="N539" s="19" t="n">
        <x:f>(E539-F539)*H539</x:f>
        <x:v>42</x:v>
      </x:c>
      <x:c r="O539" s="19" t="n">
        <x:f>F539*J539</x:f>
        <x:v>0</x:v>
      </x:c>
      <x:c r="P539" s="19" t="n">
        <x:f>M539-N539-O539</x:f>
        <x:v>48</x:v>
      </x:c>
    </x:row>
    <x:row r="540">
      <x:c r="A540" s="15" t="str">
        <x:v>SIM-0536</x:v>
      </x:c>
      <x:c r="B540" s="15" t="str">
        <x:v>2026-03</x:v>
      </x:c>
      <x:c r="C540" s="15" t="str">
        <x:v>Prendas</x:v>
      </x:c>
      <x:c r="D540" s="15" t="str">
        <x:v>Tienda</x:v>
      </x:c>
      <x:c r="E540" s="15" t="n">
        <x:v>1</x:v>
      </x:c>
      <x:c r="F540" s="15" t="n">
        <x:v>0</x:v>
      </x:c>
      <x:c r="G540" s="19" t="n">
        <x:v>60</x:v>
      </x:c>
      <x:c r="H540" s="19" t="n">
        <x:v>24</x:v>
      </x:c>
      <x:c r="I540" s="17" t="n">
        <x:v>0</x:v>
      </x:c>
      <x:c r="J540" s="19" t="n">
        <x:v>2</x:v>
      </x:c>
      <x:c r="K540" s="19" t="n">
        <x:f>E540*G540</x:f>
        <x:v>60</x:v>
      </x:c>
      <x:c r="L540" s="19" t="n">
        <x:f>K540*I540</x:f>
        <x:v>0</x:v>
      </x:c>
      <x:c r="M540" s="19" t="n">
        <x:f>(E540-F540)*G540*(1-I540)</x:f>
        <x:v>60</x:v>
      </x:c>
      <x:c r="N540" s="19" t="n">
        <x:f>(E540-F540)*H540</x:f>
        <x:v>24</x:v>
      </x:c>
      <x:c r="O540" s="19" t="n">
        <x:f>F540*J540</x:f>
        <x:v>0</x:v>
      </x:c>
      <x:c r="P540" s="19" t="n">
        <x:f>M540-N540-O540</x:f>
        <x:v>36</x:v>
      </x:c>
    </x:row>
    <x:row r="541">
      <x:c r="A541" s="15" t="str">
        <x:v>SIM-0537</x:v>
      </x:c>
      <x:c r="B541" s="15" t="str">
        <x:v>2026-03</x:v>
      </x:c>
      <x:c r="C541" s="15" t="str">
        <x:v>Prendas</x:v>
      </x:c>
      <x:c r="D541" s="15" t="str">
        <x:v>Online</x:v>
      </x:c>
      <x:c r="E541" s="15" t="n">
        <x:v>1</x:v>
      </x:c>
      <x:c r="F541" s="15" t="n">
        <x:v>0</x:v>
      </x:c>
      <x:c r="G541" s="19" t="n">
        <x:v>60</x:v>
      </x:c>
      <x:c r="H541" s="19" t="n">
        <x:v>24</x:v>
      </x:c>
      <x:c r="I541" s="17" t="n">
        <x:v>0.1</x:v>
      </x:c>
      <x:c r="J541" s="19" t="n">
        <x:v>6</x:v>
      </x:c>
      <x:c r="K541" s="19" t="n">
        <x:f>E541*G541</x:f>
        <x:v>60</x:v>
      </x:c>
      <x:c r="L541" s="19" t="n">
        <x:f>K541*I541</x:f>
        <x:v>6</x:v>
      </x:c>
      <x:c r="M541" s="19" t="n">
        <x:f>(E541-F541)*G541*(1-I541)</x:f>
        <x:v>54</x:v>
      </x:c>
      <x:c r="N541" s="19" t="n">
        <x:f>(E541-F541)*H541</x:f>
        <x:v>24</x:v>
      </x:c>
      <x:c r="O541" s="19" t="n">
        <x:f>F541*J541</x:f>
        <x:v>0</x:v>
      </x:c>
      <x:c r="P541" s="19" t="n">
        <x:f>M541-N541-O541</x:f>
        <x:v>30</x:v>
      </x:c>
    </x:row>
    <x:row r="542">
      <x:c r="A542" s="15" t="str">
        <x:v>SIM-0538</x:v>
      </x:c>
      <x:c r="B542" s="15" t="str">
        <x:v>2026-03</x:v>
      </x:c>
      <x:c r="C542" s="15" t="str">
        <x:v>Accesorios</x:v>
      </x:c>
      <x:c r="D542" s="15" t="str">
        <x:v>Tienda</x:v>
      </x:c>
      <x:c r="E542" s="15" t="n">
        <x:v>2</x:v>
      </x:c>
      <x:c r="F542" s="15" t="n">
        <x:v>0</x:v>
      </x:c>
      <x:c r="G542" s="19" t="n">
        <x:v>30</x:v>
      </x:c>
      <x:c r="H542" s="19" t="n">
        <x:v>9</x:v>
      </x:c>
      <x:c r="I542" s="17" t="n">
        <x:v>0</x:v>
      </x:c>
      <x:c r="J542" s="19" t="n">
        <x:v>2</x:v>
      </x:c>
      <x:c r="K542" s="19" t="n">
        <x:f>E542*G542</x:f>
        <x:v>60</x:v>
      </x:c>
      <x:c r="L542" s="19" t="n">
        <x:f>K542*I542</x:f>
        <x:v>0</x:v>
      </x:c>
      <x:c r="M542" s="19" t="n">
        <x:f>(E542-F542)*G542*(1-I542)</x:f>
        <x:v>60</x:v>
      </x:c>
      <x:c r="N542" s="19" t="n">
        <x:f>(E542-F542)*H542</x:f>
        <x:v>18</x:v>
      </x:c>
      <x:c r="O542" s="19" t="n">
        <x:f>F542*J542</x:f>
        <x:v>0</x:v>
      </x:c>
      <x:c r="P542" s="19" t="n">
        <x:f>M542-N542-O542</x:f>
        <x:v>42</x:v>
      </x:c>
    </x:row>
    <x:row r="543">
      <x:c r="A543" s="15" t="str">
        <x:v>SIM-0539</x:v>
      </x:c>
      <x:c r="B543" s="15" t="str">
        <x:v>2026-03</x:v>
      </x:c>
      <x:c r="C543" s="15" t="str">
        <x:v>Prendas</x:v>
      </x:c>
      <x:c r="D543" s="15" t="str">
        <x:v>Tienda</x:v>
      </x:c>
      <x:c r="E543" s="15" t="n">
        <x:v>1</x:v>
      </x:c>
      <x:c r="F543" s="15" t="n">
        <x:v>0</x:v>
      </x:c>
      <x:c r="G543" s="19" t="n">
        <x:v>60</x:v>
      </x:c>
      <x:c r="H543" s="19" t="n">
        <x:v>24</x:v>
      </x:c>
      <x:c r="I543" s="17" t="n">
        <x:v>0</x:v>
      </x:c>
      <x:c r="J543" s="19" t="n">
        <x:v>2</x:v>
      </x:c>
      <x:c r="K543" s="19" t="n">
        <x:f>E543*G543</x:f>
        <x:v>60</x:v>
      </x:c>
      <x:c r="L543" s="19" t="n">
        <x:f>K543*I543</x:f>
        <x:v>0</x:v>
      </x:c>
      <x:c r="M543" s="19" t="n">
        <x:f>(E543-F543)*G543*(1-I543)</x:f>
        <x:v>60</x:v>
      </x:c>
      <x:c r="N543" s="19" t="n">
        <x:f>(E543-F543)*H543</x:f>
        <x:v>24</x:v>
      </x:c>
      <x:c r="O543" s="19" t="n">
        <x:f>F543*J543</x:f>
        <x:v>0</x:v>
      </x:c>
      <x:c r="P543" s="19" t="n">
        <x:f>M543-N543-O543</x:f>
        <x:v>36</x:v>
      </x:c>
    </x:row>
    <x:row r="544">
      <x:c r="A544" s="15" t="str">
        <x:v>SIM-0540</x:v>
      </x:c>
      <x:c r="B544" s="15" t="str">
        <x:v>2026-03</x:v>
      </x:c>
      <x:c r="C544" s="15" t="str">
        <x:v>Prendas</x:v>
      </x:c>
      <x:c r="D544" s="15" t="str">
        <x:v>Tienda</x:v>
      </x:c>
      <x:c r="E544" s="15" t="n">
        <x:v>1</x:v>
      </x:c>
      <x:c r="F544" s="15" t="n">
        <x:v>0</x:v>
      </x:c>
      <x:c r="G544" s="19" t="n">
        <x:v>60</x:v>
      </x:c>
      <x:c r="H544" s="19" t="n">
        <x:v>24</x:v>
      </x:c>
      <x:c r="I544" s="17" t="n">
        <x:v>0.3</x:v>
      </x:c>
      <x:c r="J544" s="19" t="n">
        <x:v>2</x:v>
      </x:c>
      <x:c r="K544" s="19" t="n">
        <x:f>E544*G544</x:f>
        <x:v>60</x:v>
      </x:c>
      <x:c r="L544" s="19" t="n">
        <x:f>K544*I544</x:f>
        <x:v>18</x:v>
      </x:c>
      <x:c r="M544" s="19" t="n">
        <x:f>(E544-F544)*G544*(1-I544)</x:f>
        <x:v>42</x:v>
      </x:c>
      <x:c r="N544" s="19" t="n">
        <x:f>(E544-F544)*H544</x:f>
        <x:v>24</x:v>
      </x:c>
      <x:c r="O544" s="19" t="n">
        <x:f>F544*J544</x:f>
        <x:v>0</x:v>
      </x:c>
      <x:c r="P544" s="19" t="n">
        <x:f>M544-N544-O544</x:f>
        <x:v>18</x:v>
      </x:c>
    </x:row>
    <x:row r="545">
      <x:c r="A545" s="15" t="str">
        <x:v>SIM-0541</x:v>
      </x:c>
      <x:c r="B545" s="15" t="str">
        <x:v>2026-03</x:v>
      </x:c>
      <x:c r="C545" s="15" t="str">
        <x:v>Prendas</x:v>
      </x:c>
      <x:c r="D545" s="15" t="str">
        <x:v>Online</x:v>
      </x:c>
      <x:c r="E545" s="15" t="n">
        <x:v>1</x:v>
      </x:c>
      <x:c r="F545" s="15" t="n">
        <x:v>0</x:v>
      </x:c>
      <x:c r="G545" s="19" t="n">
        <x:v>60</x:v>
      </x:c>
      <x:c r="H545" s="19" t="n">
        <x:v>24</x:v>
      </x:c>
      <x:c r="I545" s="17" t="n">
        <x:v>0</x:v>
      </x:c>
      <x:c r="J545" s="19" t="n">
        <x:v>6</x:v>
      </x:c>
      <x:c r="K545" s="19" t="n">
        <x:f>E545*G545</x:f>
        <x:v>60</x:v>
      </x:c>
      <x:c r="L545" s="19" t="n">
        <x:f>K545*I545</x:f>
        <x:v>0</x:v>
      </x:c>
      <x:c r="M545" s="19" t="n">
        <x:f>(E545-F545)*G545*(1-I545)</x:f>
        <x:v>60</x:v>
      </x:c>
      <x:c r="N545" s="19" t="n">
        <x:f>(E545-F545)*H545</x:f>
        <x:v>24</x:v>
      </x:c>
      <x:c r="O545" s="19" t="n">
        <x:f>F545*J545</x:f>
        <x:v>0</x:v>
      </x:c>
      <x:c r="P545" s="19" t="n">
        <x:f>M545-N545-O545</x:f>
        <x:v>36</x:v>
      </x:c>
    </x:row>
    <x:row r="546">
      <x:c r="A546" s="15" t="str">
        <x:v>SIM-0542</x:v>
      </x:c>
      <x:c r="B546" s="15" t="str">
        <x:v>2026-03</x:v>
      </x:c>
      <x:c r="C546" s="15" t="str">
        <x:v>Calzado</x:v>
      </x:c>
      <x:c r="D546" s="15" t="str">
        <x:v>Tienda</x:v>
      </x:c>
      <x:c r="E546" s="15" t="n">
        <x:v>1</x:v>
      </x:c>
      <x:c r="F546" s="15" t="n">
        <x:v>0</x:v>
      </x:c>
      <x:c r="G546" s="19" t="n">
        <x:v>90</x:v>
      </x:c>
      <x:c r="H546" s="19" t="n">
        <x:v>42</x:v>
      </x:c>
      <x:c r="I546" s="17" t="n">
        <x:v>0.2</x:v>
      </x:c>
      <x:c r="J546" s="19" t="n">
        <x:v>2</x:v>
      </x:c>
      <x:c r="K546" s="19" t="n">
        <x:f>E546*G546</x:f>
        <x:v>90</x:v>
      </x:c>
      <x:c r="L546" s="19" t="n">
        <x:f>K546*I546</x:f>
        <x:v>18</x:v>
      </x:c>
      <x:c r="M546" s="19" t="n">
        <x:f>(E546-F546)*G546*(1-I546)</x:f>
        <x:v>72</x:v>
      </x:c>
      <x:c r="N546" s="19" t="n">
        <x:f>(E546-F546)*H546</x:f>
        <x:v>42</x:v>
      </x:c>
      <x:c r="O546" s="19" t="n">
        <x:f>F546*J546</x:f>
        <x:v>0</x:v>
      </x:c>
      <x:c r="P546" s="19" t="n">
        <x:f>M546-N546-O546</x:f>
        <x:v>30</x:v>
      </x:c>
    </x:row>
    <x:row r="547">
      <x:c r="A547" s="15" t="str">
        <x:v>SIM-0543</x:v>
      </x:c>
      <x:c r="B547" s="15" t="str">
        <x:v>2026-03</x:v>
      </x:c>
      <x:c r="C547" s="15" t="str">
        <x:v>Prendas</x:v>
      </x:c>
      <x:c r="D547" s="15" t="str">
        <x:v>Online</x:v>
      </x:c>
      <x:c r="E547" s="15" t="n">
        <x:v>1</x:v>
      </x:c>
      <x:c r="F547" s="15" t="n">
        <x:v>1</x:v>
      </x:c>
      <x:c r="G547" s="19" t="n">
        <x:v>60</x:v>
      </x:c>
      <x:c r="H547" s="19" t="n">
        <x:v>24</x:v>
      </x:c>
      <x:c r="I547" s="17" t="n">
        <x:v>0.3</x:v>
      </x:c>
      <x:c r="J547" s="19" t="n">
        <x:v>6</x:v>
      </x:c>
      <x:c r="K547" s="19" t="n">
        <x:f>E547*G547</x:f>
        <x:v>60</x:v>
      </x:c>
      <x:c r="L547" s="19" t="n">
        <x:f>K547*I547</x:f>
        <x:v>18</x:v>
      </x:c>
      <x:c r="M547" s="19" t="n">
        <x:f>(E547-F547)*G547*(1-I547)</x:f>
        <x:v>0</x:v>
      </x:c>
      <x:c r="N547" s="19" t="n">
        <x:f>(E547-F547)*H547</x:f>
        <x:v>0</x:v>
      </x:c>
      <x:c r="O547" s="19" t="n">
        <x:f>F547*J547</x:f>
        <x:v>6</x:v>
      </x:c>
      <x:c r="P547" s="19" t="n">
        <x:f>M547-N547-O547</x:f>
        <x:v>-6</x:v>
      </x:c>
    </x:row>
    <x:row r="548">
      <x:c r="A548" s="15" t="str">
        <x:v>SIM-0544</x:v>
      </x:c>
      <x:c r="B548" s="15" t="str">
        <x:v>2026-03</x:v>
      </x:c>
      <x:c r="C548" s="15" t="str">
        <x:v>Prendas</x:v>
      </x:c>
      <x:c r="D548" s="15" t="str">
        <x:v>Online</x:v>
      </x:c>
      <x:c r="E548" s="15" t="n">
        <x:v>1</x:v>
      </x:c>
      <x:c r="F548" s="15" t="n">
        <x:v>0</x:v>
      </x:c>
      <x:c r="G548" s="19" t="n">
        <x:v>60</x:v>
      </x:c>
      <x:c r="H548" s="19" t="n">
        <x:v>24</x:v>
      </x:c>
      <x:c r="I548" s="17" t="n">
        <x:v>0.3</x:v>
      </x:c>
      <x:c r="J548" s="19" t="n">
        <x:v>6</x:v>
      </x:c>
      <x:c r="K548" s="19" t="n">
        <x:f>E548*G548</x:f>
        <x:v>60</x:v>
      </x:c>
      <x:c r="L548" s="19" t="n">
        <x:f>K548*I548</x:f>
        <x:v>18</x:v>
      </x:c>
      <x:c r="M548" s="19" t="n">
        <x:f>(E548-F548)*G548*(1-I548)</x:f>
        <x:v>42</x:v>
      </x:c>
      <x:c r="N548" s="19" t="n">
        <x:f>(E548-F548)*H548</x:f>
        <x:v>24</x:v>
      </x:c>
      <x:c r="O548" s="19" t="n">
        <x:f>F548*J548</x:f>
        <x:v>0</x:v>
      </x:c>
      <x:c r="P548" s="19" t="n">
        <x:f>M548-N548-O548</x:f>
        <x:v>18</x:v>
      </x:c>
    </x:row>
    <x:row r="549">
      <x:c r="A549" s="15" t="str">
        <x:v>SIM-0545</x:v>
      </x:c>
      <x:c r="B549" s="15" t="str">
        <x:v>2026-03</x:v>
      </x:c>
      <x:c r="C549" s="15" t="str">
        <x:v>Prendas</x:v>
      </x:c>
      <x:c r="D549" s="15" t="str">
        <x:v>Tienda</x:v>
      </x:c>
      <x:c r="E549" s="15" t="n">
        <x:v>1</x:v>
      </x:c>
      <x:c r="F549" s="15" t="n">
        <x:v>0</x:v>
      </x:c>
      <x:c r="G549" s="19" t="n">
        <x:v>60</x:v>
      </x:c>
      <x:c r="H549" s="19" t="n">
        <x:v>24</x:v>
      </x:c>
      <x:c r="I549" s="17" t="n">
        <x:v>0</x:v>
      </x:c>
      <x:c r="J549" s="19" t="n">
        <x:v>2</x:v>
      </x:c>
      <x:c r="K549" s="19" t="n">
        <x:f>E549*G549</x:f>
        <x:v>60</x:v>
      </x:c>
      <x:c r="L549" s="19" t="n">
        <x:f>K549*I549</x:f>
        <x:v>0</x:v>
      </x:c>
      <x:c r="M549" s="19" t="n">
        <x:f>(E549-F549)*G549*(1-I549)</x:f>
        <x:v>60</x:v>
      </x:c>
      <x:c r="N549" s="19" t="n">
        <x:f>(E549-F549)*H549</x:f>
        <x:v>24</x:v>
      </x:c>
      <x:c r="O549" s="19" t="n">
        <x:f>F549*J549</x:f>
        <x:v>0</x:v>
      </x:c>
      <x:c r="P549" s="19" t="n">
        <x:f>M549-N549-O549</x:f>
        <x:v>36</x:v>
      </x:c>
    </x:row>
    <x:row r="550">
      <x:c r="A550" s="15" t="str">
        <x:v>SIM-0546</x:v>
      </x:c>
      <x:c r="B550" s="15" t="str">
        <x:v>2026-03</x:v>
      </x:c>
      <x:c r="C550" s="15" t="str">
        <x:v>Prendas</x:v>
      </x:c>
      <x:c r="D550" s="15" t="str">
        <x:v>Tienda</x:v>
      </x:c>
      <x:c r="E550" s="15" t="n">
        <x:v>1</x:v>
      </x:c>
      <x:c r="F550" s="15" t="n">
        <x:v>0</x:v>
      </x:c>
      <x:c r="G550" s="19" t="n">
        <x:v>60</x:v>
      </x:c>
      <x:c r="H550" s="19" t="n">
        <x:v>24</x:v>
      </x:c>
      <x:c r="I550" s="17" t="n">
        <x:v>0.3</x:v>
      </x:c>
      <x:c r="J550" s="19" t="n">
        <x:v>2</x:v>
      </x:c>
      <x:c r="K550" s="19" t="n">
        <x:f>E550*G550</x:f>
        <x:v>60</x:v>
      </x:c>
      <x:c r="L550" s="19" t="n">
        <x:f>K550*I550</x:f>
        <x:v>18</x:v>
      </x:c>
      <x:c r="M550" s="19" t="n">
        <x:f>(E550-F550)*G550*(1-I550)</x:f>
        <x:v>42</x:v>
      </x:c>
      <x:c r="N550" s="19" t="n">
        <x:f>(E550-F550)*H550</x:f>
        <x:v>24</x:v>
      </x:c>
      <x:c r="O550" s="19" t="n">
        <x:f>F550*J550</x:f>
        <x:v>0</x:v>
      </x:c>
      <x:c r="P550" s="19" t="n">
        <x:f>M550-N550-O550</x:f>
        <x:v>18</x:v>
      </x:c>
    </x:row>
    <x:row r="551">
      <x:c r="A551" s="15" t="str">
        <x:v>SIM-0547</x:v>
      </x:c>
      <x:c r="B551" s="15" t="str">
        <x:v>2026-03</x:v>
      </x:c>
      <x:c r="C551" s="15" t="str">
        <x:v>Calzado</x:v>
      </x:c>
      <x:c r="D551" s="15" t="str">
        <x:v>Online</x:v>
      </x:c>
      <x:c r="E551" s="15" t="n">
        <x:v>2</x:v>
      </x:c>
      <x:c r="F551" s="15" t="n">
        <x:v>0</x:v>
      </x:c>
      <x:c r="G551" s="19" t="n">
        <x:v>90</x:v>
      </x:c>
      <x:c r="H551" s="19" t="n">
        <x:v>42</x:v>
      </x:c>
      <x:c r="I551" s="17" t="n">
        <x:v>0.1</x:v>
      </x:c>
      <x:c r="J551" s="19" t="n">
        <x:v>6</x:v>
      </x:c>
      <x:c r="K551" s="19" t="n">
        <x:f>E551*G551</x:f>
        <x:v>180</x:v>
      </x:c>
      <x:c r="L551" s="19" t="n">
        <x:f>K551*I551</x:f>
        <x:v>18</x:v>
      </x:c>
      <x:c r="M551" s="19" t="n">
        <x:f>(E551-F551)*G551*(1-I551)</x:f>
        <x:v>162</x:v>
      </x:c>
      <x:c r="N551" s="19" t="n">
        <x:f>(E551-F551)*H551</x:f>
        <x:v>84</x:v>
      </x:c>
      <x:c r="O551" s="19" t="n">
        <x:f>F551*J551</x:f>
        <x:v>0</x:v>
      </x:c>
      <x:c r="P551" s="19" t="n">
        <x:f>M551-N551-O551</x:f>
        <x:v>78</x:v>
      </x:c>
    </x:row>
    <x:row r="552">
      <x:c r="A552" s="15" t="str">
        <x:v>SIM-0548</x:v>
      </x:c>
      <x:c r="B552" s="15" t="str">
        <x:v>2026-03</x:v>
      </x:c>
      <x:c r="C552" s="15" t="str">
        <x:v>Prendas</x:v>
      </x:c>
      <x:c r="D552" s="15" t="str">
        <x:v>Tienda</x:v>
      </x:c>
      <x:c r="E552" s="15" t="n">
        <x:v>1</x:v>
      </x:c>
      <x:c r="F552" s="15" t="n">
        <x:v>0</x:v>
      </x:c>
      <x:c r="G552" s="19" t="n">
        <x:v>60</x:v>
      </x:c>
      <x:c r="H552" s="19" t="n">
        <x:v>24</x:v>
      </x:c>
      <x:c r="I552" s="17" t="n">
        <x:v>0.1</x:v>
      </x:c>
      <x:c r="J552" s="19" t="n">
        <x:v>2</x:v>
      </x:c>
      <x:c r="K552" s="19" t="n">
        <x:f>E552*G552</x:f>
        <x:v>60</x:v>
      </x:c>
      <x:c r="L552" s="19" t="n">
        <x:f>K552*I552</x:f>
        <x:v>6</x:v>
      </x:c>
      <x:c r="M552" s="19" t="n">
        <x:f>(E552-F552)*G552*(1-I552)</x:f>
        <x:v>54</x:v>
      </x:c>
      <x:c r="N552" s="19" t="n">
        <x:f>(E552-F552)*H552</x:f>
        <x:v>24</x:v>
      </x:c>
      <x:c r="O552" s="19" t="n">
        <x:f>F552*J552</x:f>
        <x:v>0</x:v>
      </x:c>
      <x:c r="P552" s="19" t="n">
        <x:f>M552-N552-O552</x:f>
        <x:v>30</x:v>
      </x:c>
    </x:row>
    <x:row r="553">
      <x:c r="A553" s="15" t="str">
        <x:v>SIM-0549</x:v>
      </x:c>
      <x:c r="B553" s="15" t="str">
        <x:v>2026-03</x:v>
      </x:c>
      <x:c r="C553" s="15" t="str">
        <x:v>Calzado</x:v>
      </x:c>
      <x:c r="D553" s="15" t="str">
        <x:v>Tienda</x:v>
      </x:c>
      <x:c r="E553" s="15" t="n">
        <x:v>1</x:v>
      </x:c>
      <x:c r="F553" s="15" t="n">
        <x:v>0</x:v>
      </x:c>
      <x:c r="G553" s="19" t="n">
        <x:v>90</x:v>
      </x:c>
      <x:c r="H553" s="19" t="n">
        <x:v>42</x:v>
      </x:c>
      <x:c r="I553" s="17" t="n">
        <x:v>0</x:v>
      </x:c>
      <x:c r="J553" s="19" t="n">
        <x:v>2</x:v>
      </x:c>
      <x:c r="K553" s="19" t="n">
        <x:f>E553*G553</x:f>
        <x:v>90</x:v>
      </x:c>
      <x:c r="L553" s="19" t="n">
        <x:f>K553*I553</x:f>
        <x:v>0</x:v>
      </x:c>
      <x:c r="M553" s="19" t="n">
        <x:f>(E553-F553)*G553*(1-I553)</x:f>
        <x:v>90</x:v>
      </x:c>
      <x:c r="N553" s="19" t="n">
        <x:f>(E553-F553)*H553</x:f>
        <x:v>42</x:v>
      </x:c>
      <x:c r="O553" s="19" t="n">
        <x:f>F553*J553</x:f>
        <x:v>0</x:v>
      </x:c>
      <x:c r="P553" s="19" t="n">
        <x:f>M553-N553-O553</x:f>
        <x:v>48</x:v>
      </x:c>
    </x:row>
    <x:row r="554">
      <x:c r="A554" s="15" t="str">
        <x:v>SIM-0550</x:v>
      </x:c>
      <x:c r="B554" s="15" t="str">
        <x:v>2026-03</x:v>
      </x:c>
      <x:c r="C554" s="15" t="str">
        <x:v>Prendas</x:v>
      </x:c>
      <x:c r="D554" s="15" t="str">
        <x:v>Tienda</x:v>
      </x:c>
      <x:c r="E554" s="15" t="n">
        <x:v>1</x:v>
      </x:c>
      <x:c r="F554" s="15" t="n">
        <x:v>0</x:v>
      </x:c>
      <x:c r="G554" s="19" t="n">
        <x:v>60</x:v>
      </x:c>
      <x:c r="H554" s="19" t="n">
        <x:v>24</x:v>
      </x:c>
      <x:c r="I554" s="17" t="n">
        <x:v>0</x:v>
      </x:c>
      <x:c r="J554" s="19" t="n">
        <x:v>2</x:v>
      </x:c>
      <x:c r="K554" s="19" t="n">
        <x:f>E554*G554</x:f>
        <x:v>60</x:v>
      </x:c>
      <x:c r="L554" s="19" t="n">
        <x:f>K554*I554</x:f>
        <x:v>0</x:v>
      </x:c>
      <x:c r="M554" s="19" t="n">
        <x:f>(E554-F554)*G554*(1-I554)</x:f>
        <x:v>60</x:v>
      </x:c>
      <x:c r="N554" s="19" t="n">
        <x:f>(E554-F554)*H554</x:f>
        <x:v>24</x:v>
      </x:c>
      <x:c r="O554" s="19" t="n">
        <x:f>F554*J554</x:f>
        <x:v>0</x:v>
      </x:c>
      <x:c r="P554" s="19" t="n">
        <x:f>M554-N554-O554</x:f>
        <x:v>36</x:v>
      </x:c>
    </x:row>
    <x:row r="555">
      <x:c r="A555" s="15" t="str">
        <x:v>SIM-0551</x:v>
      </x:c>
      <x:c r="B555" s="15" t="str">
        <x:v>2026-03</x:v>
      </x:c>
      <x:c r="C555" s="15" t="str">
        <x:v>Calzado</x:v>
      </x:c>
      <x:c r="D555" s="15" t="str">
        <x:v>Tienda</x:v>
      </x:c>
      <x:c r="E555" s="15" t="n">
        <x:v>1</x:v>
      </x:c>
      <x:c r="F555" s="15" t="n">
        <x:v>0</x:v>
      </x:c>
      <x:c r="G555" s="19" t="n">
        <x:v>90</x:v>
      </x:c>
      <x:c r="H555" s="19" t="n">
        <x:v>42</x:v>
      </x:c>
      <x:c r="I555" s="17" t="n">
        <x:v>0.3</x:v>
      </x:c>
      <x:c r="J555" s="19" t="n">
        <x:v>2</x:v>
      </x:c>
      <x:c r="K555" s="19" t="n">
        <x:f>E555*G555</x:f>
        <x:v>90</x:v>
      </x:c>
      <x:c r="L555" s="19" t="n">
        <x:f>K555*I555</x:f>
        <x:v>27</x:v>
      </x:c>
      <x:c r="M555" s="19" t="n">
        <x:f>(E555-F555)*G555*(1-I555)</x:f>
        <x:v>62.99999999999999</x:v>
      </x:c>
      <x:c r="N555" s="19" t="n">
        <x:f>(E555-F555)*H555</x:f>
        <x:v>42</x:v>
      </x:c>
      <x:c r="O555" s="19" t="n">
        <x:f>F555*J555</x:f>
        <x:v>0</x:v>
      </x:c>
      <x:c r="P555" s="19" t="n">
        <x:f>M555-N555-O555</x:f>
        <x:v>20.999999999999993</x:v>
      </x:c>
    </x:row>
    <x:row r="556">
      <x:c r="A556" s="15" t="str">
        <x:v>SIM-0552</x:v>
      </x:c>
      <x:c r="B556" s="15" t="str">
        <x:v>2026-03</x:v>
      </x:c>
      <x:c r="C556" s="15" t="str">
        <x:v>Accesorios</x:v>
      </x:c>
      <x:c r="D556" s="15" t="str">
        <x:v>Online</x:v>
      </x:c>
      <x:c r="E556" s="15" t="n">
        <x:v>2</x:v>
      </x:c>
      <x:c r="F556" s="15" t="n">
        <x:v>0</x:v>
      </x:c>
      <x:c r="G556" s="19" t="n">
        <x:v>30</x:v>
      </x:c>
      <x:c r="H556" s="19" t="n">
        <x:v>9</x:v>
      </x:c>
      <x:c r="I556" s="17" t="n">
        <x:v>0</x:v>
      </x:c>
      <x:c r="J556" s="19" t="n">
        <x:v>6</x:v>
      </x:c>
      <x:c r="K556" s="19" t="n">
        <x:f>E556*G556</x:f>
        <x:v>60</x:v>
      </x:c>
      <x:c r="L556" s="19" t="n">
        <x:f>K556*I556</x:f>
        <x:v>0</x:v>
      </x:c>
      <x:c r="M556" s="19" t="n">
        <x:f>(E556-F556)*G556*(1-I556)</x:f>
        <x:v>60</x:v>
      </x:c>
      <x:c r="N556" s="19" t="n">
        <x:f>(E556-F556)*H556</x:f>
        <x:v>18</x:v>
      </x:c>
      <x:c r="O556" s="19" t="n">
        <x:f>F556*J556</x:f>
        <x:v>0</x:v>
      </x:c>
      <x:c r="P556" s="19" t="n">
        <x:f>M556-N556-O556</x:f>
        <x:v>42</x:v>
      </x:c>
    </x:row>
    <x:row r="557">
      <x:c r="A557" s="15" t="str">
        <x:v>SIM-0553</x:v>
      </x:c>
      <x:c r="B557" s="15" t="str">
        <x:v>2026-03</x:v>
      </x:c>
      <x:c r="C557" s="15" t="str">
        <x:v>Prendas</x:v>
      </x:c>
      <x:c r="D557" s="15" t="str">
        <x:v>Online</x:v>
      </x:c>
      <x:c r="E557" s="15" t="n">
        <x:v>1</x:v>
      </x:c>
      <x:c r="F557" s="15" t="n">
        <x:v>0</x:v>
      </x:c>
      <x:c r="G557" s="19" t="n">
        <x:v>60</x:v>
      </x:c>
      <x:c r="H557" s="19" t="n">
        <x:v>24</x:v>
      </x:c>
      <x:c r="I557" s="17" t="n">
        <x:v>0</x:v>
      </x:c>
      <x:c r="J557" s="19" t="n">
        <x:v>6</x:v>
      </x:c>
      <x:c r="K557" s="19" t="n">
        <x:f>E557*G557</x:f>
        <x:v>60</x:v>
      </x:c>
      <x:c r="L557" s="19" t="n">
        <x:f>K557*I557</x:f>
        <x:v>0</x:v>
      </x:c>
      <x:c r="M557" s="19" t="n">
        <x:f>(E557-F557)*G557*(1-I557)</x:f>
        <x:v>60</x:v>
      </x:c>
      <x:c r="N557" s="19" t="n">
        <x:f>(E557-F557)*H557</x:f>
        <x:v>24</x:v>
      </x:c>
      <x:c r="O557" s="19" t="n">
        <x:f>F557*J557</x:f>
        <x:v>0</x:v>
      </x:c>
      <x:c r="P557" s="19" t="n">
        <x:f>M557-N557-O557</x:f>
        <x:v>36</x:v>
      </x:c>
    </x:row>
    <x:row r="558">
      <x:c r="A558" s="15" t="str">
        <x:v>SIM-0554</x:v>
      </x:c>
      <x:c r="B558" s="15" t="str">
        <x:v>2026-03</x:v>
      </x:c>
      <x:c r="C558" s="15" t="str">
        <x:v>Prendas</x:v>
      </x:c>
      <x:c r="D558" s="15" t="str">
        <x:v>Tienda</x:v>
      </x:c>
      <x:c r="E558" s="15" t="n">
        <x:v>1</x:v>
      </x:c>
      <x:c r="F558" s="15" t="n">
        <x:v>0</x:v>
      </x:c>
      <x:c r="G558" s="19" t="n">
        <x:v>60</x:v>
      </x:c>
      <x:c r="H558" s="19" t="n">
        <x:v>24</x:v>
      </x:c>
      <x:c r="I558" s="17" t="n">
        <x:v>0</x:v>
      </x:c>
      <x:c r="J558" s="19" t="n">
        <x:v>2</x:v>
      </x:c>
      <x:c r="K558" s="19" t="n">
        <x:f>E558*G558</x:f>
        <x:v>60</x:v>
      </x:c>
      <x:c r="L558" s="19" t="n">
        <x:f>K558*I558</x:f>
        <x:v>0</x:v>
      </x:c>
      <x:c r="M558" s="19" t="n">
        <x:f>(E558-F558)*G558*(1-I558)</x:f>
        <x:v>60</x:v>
      </x:c>
      <x:c r="N558" s="19" t="n">
        <x:f>(E558-F558)*H558</x:f>
        <x:v>24</x:v>
      </x:c>
      <x:c r="O558" s="19" t="n">
        <x:f>F558*J558</x:f>
        <x:v>0</x:v>
      </x:c>
      <x:c r="P558" s="19" t="n">
        <x:f>M558-N558-O558</x:f>
        <x:v>36</x:v>
      </x:c>
    </x:row>
    <x:row r="559">
      <x:c r="A559" s="15" t="str">
        <x:v>SIM-0555</x:v>
      </x:c>
      <x:c r="B559" s="15" t="str">
        <x:v>2026-03</x:v>
      </x:c>
      <x:c r="C559" s="15" t="str">
        <x:v>Prendas</x:v>
      </x:c>
      <x:c r="D559" s="15" t="str">
        <x:v>Tienda</x:v>
      </x:c>
      <x:c r="E559" s="15" t="n">
        <x:v>2</x:v>
      </x:c>
      <x:c r="F559" s="15" t="n">
        <x:v>0</x:v>
      </x:c>
      <x:c r="G559" s="19" t="n">
        <x:v>60</x:v>
      </x:c>
      <x:c r="H559" s="19" t="n">
        <x:v>24</x:v>
      </x:c>
      <x:c r="I559" s="17" t="n">
        <x:v>0</x:v>
      </x:c>
      <x:c r="J559" s="19" t="n">
        <x:v>2</x:v>
      </x:c>
      <x:c r="K559" s="19" t="n">
        <x:f>E559*G559</x:f>
        <x:v>120</x:v>
      </x:c>
      <x:c r="L559" s="19" t="n">
        <x:f>K559*I559</x:f>
        <x:v>0</x:v>
      </x:c>
      <x:c r="M559" s="19" t="n">
        <x:f>(E559-F559)*G559*(1-I559)</x:f>
        <x:v>120</x:v>
      </x:c>
      <x:c r="N559" s="19" t="n">
        <x:f>(E559-F559)*H559</x:f>
        <x:v>48</x:v>
      </x:c>
      <x:c r="O559" s="19" t="n">
        <x:f>F559*J559</x:f>
        <x:v>0</x:v>
      </x:c>
      <x:c r="P559" s="19" t="n">
        <x:f>M559-N559-O559</x:f>
        <x:v>72</x:v>
      </x:c>
    </x:row>
    <x:row r="560">
      <x:c r="A560" s="15" t="str">
        <x:v>SIM-0556</x:v>
      </x:c>
      <x:c r="B560" s="15" t="str">
        <x:v>2026-03</x:v>
      </x:c>
      <x:c r="C560" s="15" t="str">
        <x:v>Calzado</x:v>
      </x:c>
      <x:c r="D560" s="15" t="str">
        <x:v>Tienda</x:v>
      </x:c>
      <x:c r="E560" s="15" t="n">
        <x:v>1</x:v>
      </x:c>
      <x:c r="F560" s="15" t="n">
        <x:v>0</x:v>
      </x:c>
      <x:c r="G560" s="19" t="n">
        <x:v>90</x:v>
      </x:c>
      <x:c r="H560" s="19" t="n">
        <x:v>42</x:v>
      </x:c>
      <x:c r="I560" s="17" t="n">
        <x:v>0</x:v>
      </x:c>
      <x:c r="J560" s="19" t="n">
        <x:v>2</x:v>
      </x:c>
      <x:c r="K560" s="19" t="n">
        <x:f>E560*G560</x:f>
        <x:v>90</x:v>
      </x:c>
      <x:c r="L560" s="19" t="n">
        <x:f>K560*I560</x:f>
        <x:v>0</x:v>
      </x:c>
      <x:c r="M560" s="19" t="n">
        <x:f>(E560-F560)*G560*(1-I560)</x:f>
        <x:v>90</x:v>
      </x:c>
      <x:c r="N560" s="19" t="n">
        <x:f>(E560-F560)*H560</x:f>
        <x:v>42</x:v>
      </x:c>
      <x:c r="O560" s="19" t="n">
        <x:f>F560*J560</x:f>
        <x:v>0</x:v>
      </x:c>
      <x:c r="P560" s="19" t="n">
        <x:f>M560-N560-O560</x:f>
        <x:v>48</x:v>
      </x:c>
    </x:row>
    <x:row r="561">
      <x:c r="A561" s="15" t="str">
        <x:v>SIM-0557</x:v>
      </x:c>
      <x:c r="B561" s="15" t="str">
        <x:v>2026-03</x:v>
      </x:c>
      <x:c r="C561" s="15" t="str">
        <x:v>Prendas</x:v>
      </x:c>
      <x:c r="D561" s="15" t="str">
        <x:v>Online</x:v>
      </x:c>
      <x:c r="E561" s="15" t="n">
        <x:v>3</x:v>
      </x:c>
      <x:c r="F561" s="15" t="n">
        <x:v>0</x:v>
      </x:c>
      <x:c r="G561" s="19" t="n">
        <x:v>60</x:v>
      </x:c>
      <x:c r="H561" s="19" t="n">
        <x:v>24</x:v>
      </x:c>
      <x:c r="I561" s="17" t="n">
        <x:v>0.1</x:v>
      </x:c>
      <x:c r="J561" s="19" t="n">
        <x:v>6</x:v>
      </x:c>
      <x:c r="K561" s="19" t="n">
        <x:f>E561*G561</x:f>
        <x:v>180</x:v>
      </x:c>
      <x:c r="L561" s="19" t="n">
        <x:f>K561*I561</x:f>
        <x:v>18</x:v>
      </x:c>
      <x:c r="M561" s="19" t="n">
        <x:f>(E561-F561)*G561*(1-I561)</x:f>
        <x:v>162</x:v>
      </x:c>
      <x:c r="N561" s="19" t="n">
        <x:f>(E561-F561)*H561</x:f>
        <x:v>72</x:v>
      </x:c>
      <x:c r="O561" s="19" t="n">
        <x:f>F561*J561</x:f>
        <x:v>0</x:v>
      </x:c>
      <x:c r="P561" s="19" t="n">
        <x:f>M561-N561-O561</x:f>
        <x:v>90</x:v>
      </x:c>
    </x:row>
    <x:row r="562">
      <x:c r="A562" s="15" t="str">
        <x:v>SIM-0558</x:v>
      </x:c>
      <x:c r="B562" s="15" t="str">
        <x:v>2026-03</x:v>
      </x:c>
      <x:c r="C562" s="15" t="str">
        <x:v>Prendas</x:v>
      </x:c>
      <x:c r="D562" s="15" t="str">
        <x:v>Tienda</x:v>
      </x:c>
      <x:c r="E562" s="15" t="n">
        <x:v>1</x:v>
      </x:c>
      <x:c r="F562" s="15" t="n">
        <x:v>0</x:v>
      </x:c>
      <x:c r="G562" s="19" t="n">
        <x:v>60</x:v>
      </x:c>
      <x:c r="H562" s="19" t="n">
        <x:v>24</x:v>
      </x:c>
      <x:c r="I562" s="17" t="n">
        <x:v>0.2</x:v>
      </x:c>
      <x:c r="J562" s="19" t="n">
        <x:v>2</x:v>
      </x:c>
      <x:c r="K562" s="19" t="n">
        <x:f>E562*G562</x:f>
        <x:v>60</x:v>
      </x:c>
      <x:c r="L562" s="19" t="n">
        <x:f>K562*I562</x:f>
        <x:v>12</x:v>
      </x:c>
      <x:c r="M562" s="19" t="n">
        <x:f>(E562-F562)*G562*(1-I562)</x:f>
        <x:v>48</x:v>
      </x:c>
      <x:c r="N562" s="19" t="n">
        <x:f>(E562-F562)*H562</x:f>
        <x:v>24</x:v>
      </x:c>
      <x:c r="O562" s="19" t="n">
        <x:f>F562*J562</x:f>
        <x:v>0</x:v>
      </x:c>
      <x:c r="P562" s="19" t="n">
        <x:f>M562-N562-O562</x:f>
        <x:v>24</x:v>
      </x:c>
    </x:row>
    <x:row r="563">
      <x:c r="A563" s="15" t="str">
        <x:v>SIM-0559</x:v>
      </x:c>
      <x:c r="B563" s="15" t="str">
        <x:v>2026-03</x:v>
      </x:c>
      <x:c r="C563" s="15" t="str">
        <x:v>Accesorios</x:v>
      </x:c>
      <x:c r="D563" s="15" t="str">
        <x:v>Tienda</x:v>
      </x:c>
      <x:c r="E563" s="15" t="n">
        <x:v>1</x:v>
      </x:c>
      <x:c r="F563" s="15" t="n">
        <x:v>0</x:v>
      </x:c>
      <x:c r="G563" s="19" t="n">
        <x:v>30</x:v>
      </x:c>
      <x:c r="H563" s="19" t="n">
        <x:v>9</x:v>
      </x:c>
      <x:c r="I563" s="17" t="n">
        <x:v>0.2</x:v>
      </x:c>
      <x:c r="J563" s="19" t="n">
        <x:v>2</x:v>
      </x:c>
      <x:c r="K563" s="19" t="n">
        <x:f>E563*G563</x:f>
        <x:v>30</x:v>
      </x:c>
      <x:c r="L563" s="19" t="n">
        <x:f>K563*I563</x:f>
        <x:v>6</x:v>
      </x:c>
      <x:c r="M563" s="19" t="n">
        <x:f>(E563-F563)*G563*(1-I563)</x:f>
        <x:v>24</x:v>
      </x:c>
      <x:c r="N563" s="19" t="n">
        <x:f>(E563-F563)*H563</x:f>
        <x:v>9</x:v>
      </x:c>
      <x:c r="O563" s="19" t="n">
        <x:f>F563*J563</x:f>
        <x:v>0</x:v>
      </x:c>
      <x:c r="P563" s="19" t="n">
        <x:f>M563-N563-O563</x:f>
        <x:v>15</x:v>
      </x:c>
    </x:row>
    <x:row r="564">
      <x:c r="A564" s="15" t="str">
        <x:v>SIM-0560</x:v>
      </x:c>
      <x:c r="B564" s="15" t="str">
        <x:v>2026-03</x:v>
      </x:c>
      <x:c r="C564" s="15" t="str">
        <x:v>Prendas</x:v>
      </x:c>
      <x:c r="D564" s="15" t="str">
        <x:v>Tienda</x:v>
      </x:c>
      <x:c r="E564" s="15" t="n">
        <x:v>1</x:v>
      </x:c>
      <x:c r="F564" s="15" t="n">
        <x:v>0</x:v>
      </x:c>
      <x:c r="G564" s="19" t="n">
        <x:v>60</x:v>
      </x:c>
      <x:c r="H564" s="19" t="n">
        <x:v>24</x:v>
      </x:c>
      <x:c r="I564" s="17" t="n">
        <x:v>0.2</x:v>
      </x:c>
      <x:c r="J564" s="19" t="n">
        <x:v>2</x:v>
      </x:c>
      <x:c r="K564" s="19" t="n">
        <x:f>E564*G564</x:f>
        <x:v>60</x:v>
      </x:c>
      <x:c r="L564" s="19" t="n">
        <x:f>K564*I564</x:f>
        <x:v>12</x:v>
      </x:c>
      <x:c r="M564" s="19" t="n">
        <x:f>(E564-F564)*G564*(1-I564)</x:f>
        <x:v>48</x:v>
      </x:c>
      <x:c r="N564" s="19" t="n">
        <x:f>(E564-F564)*H564</x:f>
        <x:v>24</x:v>
      </x:c>
      <x:c r="O564" s="19" t="n">
        <x:f>F564*J564</x:f>
        <x:v>0</x:v>
      </x:c>
      <x:c r="P564" s="19" t="n">
        <x:f>M564-N564-O564</x:f>
        <x:v>24</x:v>
      </x:c>
    </x:row>
    <x:row r="565">
      <x:c r="A565" s="15" t="str">
        <x:v>SIM-0561</x:v>
      </x:c>
      <x:c r="B565" s="15" t="str">
        <x:v>2026-03</x:v>
      </x:c>
      <x:c r="C565" s="15" t="str">
        <x:v>Calzado</x:v>
      </x:c>
      <x:c r="D565" s="15" t="str">
        <x:v>Tienda</x:v>
      </x:c>
      <x:c r="E565" s="15" t="n">
        <x:v>1</x:v>
      </x:c>
      <x:c r="F565" s="15" t="n">
        <x:v>1</x:v>
      </x:c>
      <x:c r="G565" s="19" t="n">
        <x:v>90</x:v>
      </x:c>
      <x:c r="H565" s="19" t="n">
        <x:v>42</x:v>
      </x:c>
      <x:c r="I565" s="17" t="n">
        <x:v>0</x:v>
      </x:c>
      <x:c r="J565" s="19" t="n">
        <x:v>2</x:v>
      </x:c>
      <x:c r="K565" s="19" t="n">
        <x:f>E565*G565</x:f>
        <x:v>90</x:v>
      </x:c>
      <x:c r="L565" s="19" t="n">
        <x:f>K565*I565</x:f>
        <x:v>0</x:v>
      </x:c>
      <x:c r="M565" s="19" t="n">
        <x:f>(E565-F565)*G565*(1-I565)</x:f>
        <x:v>0</x:v>
      </x:c>
      <x:c r="N565" s="19" t="n">
        <x:f>(E565-F565)*H565</x:f>
        <x:v>0</x:v>
      </x:c>
      <x:c r="O565" s="19" t="n">
        <x:f>F565*J565</x:f>
        <x:v>2</x:v>
      </x:c>
      <x:c r="P565" s="19" t="n">
        <x:f>M565-N565-O565</x:f>
        <x:v>-2</x:v>
      </x:c>
    </x:row>
    <x:row r="566">
      <x:c r="A566" s="15" t="str">
        <x:v>SIM-0562</x:v>
      </x:c>
      <x:c r="B566" s="15" t="str">
        <x:v>2026-03</x:v>
      </x:c>
      <x:c r="C566" s="15" t="str">
        <x:v>Calzado</x:v>
      </x:c>
      <x:c r="D566" s="15" t="str">
        <x:v>Tienda</x:v>
      </x:c>
      <x:c r="E566" s="15" t="n">
        <x:v>1</x:v>
      </x:c>
      <x:c r="F566" s="15" t="n">
        <x:v>0</x:v>
      </x:c>
      <x:c r="G566" s="19" t="n">
        <x:v>90</x:v>
      </x:c>
      <x:c r="H566" s="19" t="n">
        <x:v>42</x:v>
      </x:c>
      <x:c r="I566" s="17" t="n">
        <x:v>0.2</x:v>
      </x:c>
      <x:c r="J566" s="19" t="n">
        <x:v>2</x:v>
      </x:c>
      <x:c r="K566" s="19" t="n">
        <x:f>E566*G566</x:f>
        <x:v>90</x:v>
      </x:c>
      <x:c r="L566" s="19" t="n">
        <x:f>K566*I566</x:f>
        <x:v>18</x:v>
      </x:c>
      <x:c r="M566" s="19" t="n">
        <x:f>(E566-F566)*G566*(1-I566)</x:f>
        <x:v>72</x:v>
      </x:c>
      <x:c r="N566" s="19" t="n">
        <x:f>(E566-F566)*H566</x:f>
        <x:v>42</x:v>
      </x:c>
      <x:c r="O566" s="19" t="n">
        <x:f>F566*J566</x:f>
        <x:v>0</x:v>
      </x:c>
      <x:c r="P566" s="19" t="n">
        <x:f>M566-N566-O566</x:f>
        <x:v>30</x:v>
      </x:c>
    </x:row>
    <x:row r="567">
      <x:c r="A567" s="15" t="str">
        <x:v>SIM-0563</x:v>
      </x:c>
      <x:c r="B567" s="15" t="str">
        <x:v>2026-03</x:v>
      </x:c>
      <x:c r="C567" s="15" t="str">
        <x:v>Prendas</x:v>
      </x:c>
      <x:c r="D567" s="15" t="str">
        <x:v>Online</x:v>
      </x:c>
      <x:c r="E567" s="15" t="n">
        <x:v>1</x:v>
      </x:c>
      <x:c r="F567" s="15" t="n">
        <x:v>0</x:v>
      </x:c>
      <x:c r="G567" s="19" t="n">
        <x:v>60</x:v>
      </x:c>
      <x:c r="H567" s="19" t="n">
        <x:v>24</x:v>
      </x:c>
      <x:c r="I567" s="17" t="n">
        <x:v>0</x:v>
      </x:c>
      <x:c r="J567" s="19" t="n">
        <x:v>6</x:v>
      </x:c>
      <x:c r="K567" s="19" t="n">
        <x:f>E567*G567</x:f>
        <x:v>60</x:v>
      </x:c>
      <x:c r="L567" s="19" t="n">
        <x:f>K567*I567</x:f>
        <x:v>0</x:v>
      </x:c>
      <x:c r="M567" s="19" t="n">
        <x:f>(E567-F567)*G567*(1-I567)</x:f>
        <x:v>60</x:v>
      </x:c>
      <x:c r="N567" s="19" t="n">
        <x:f>(E567-F567)*H567</x:f>
        <x:v>24</x:v>
      </x:c>
      <x:c r="O567" s="19" t="n">
        <x:f>F567*J567</x:f>
        <x:v>0</x:v>
      </x:c>
      <x:c r="P567" s="19" t="n">
        <x:f>M567-N567-O567</x:f>
        <x:v>36</x:v>
      </x:c>
    </x:row>
    <x:row r="568">
      <x:c r="A568" s="15" t="str">
        <x:v>SIM-0564</x:v>
      </x:c>
      <x:c r="B568" s="15" t="str">
        <x:v>2026-03</x:v>
      </x:c>
      <x:c r="C568" s="15" t="str">
        <x:v>Prendas</x:v>
      </x:c>
      <x:c r="D568" s="15" t="str">
        <x:v>Online</x:v>
      </x:c>
      <x:c r="E568" s="15" t="n">
        <x:v>1</x:v>
      </x:c>
      <x:c r="F568" s="15" t="n">
        <x:v>0</x:v>
      </x:c>
      <x:c r="G568" s="19" t="n">
        <x:v>60</x:v>
      </x:c>
      <x:c r="H568" s="19" t="n">
        <x:v>24</x:v>
      </x:c>
      <x:c r="I568" s="17" t="n">
        <x:v>0.1</x:v>
      </x:c>
      <x:c r="J568" s="19" t="n">
        <x:v>6</x:v>
      </x:c>
      <x:c r="K568" s="19" t="n">
        <x:f>E568*G568</x:f>
        <x:v>60</x:v>
      </x:c>
      <x:c r="L568" s="19" t="n">
        <x:f>K568*I568</x:f>
        <x:v>6</x:v>
      </x:c>
      <x:c r="M568" s="19" t="n">
        <x:f>(E568-F568)*G568*(1-I568)</x:f>
        <x:v>54</x:v>
      </x:c>
      <x:c r="N568" s="19" t="n">
        <x:f>(E568-F568)*H568</x:f>
        <x:v>24</x:v>
      </x:c>
      <x:c r="O568" s="19" t="n">
        <x:f>F568*J568</x:f>
        <x:v>0</x:v>
      </x:c>
      <x:c r="P568" s="19" t="n">
        <x:f>M568-N568-O568</x:f>
        <x:v>30</x:v>
      </x:c>
    </x:row>
    <x:row r="569">
      <x:c r="A569" s="15" t="str">
        <x:v>SIM-0565</x:v>
      </x:c>
      <x:c r="B569" s="15" t="str">
        <x:v>2026-03</x:v>
      </x:c>
      <x:c r="C569" s="15" t="str">
        <x:v>Calzado</x:v>
      </x:c>
      <x:c r="D569" s="15" t="str">
        <x:v>Tienda</x:v>
      </x:c>
      <x:c r="E569" s="15" t="n">
        <x:v>1</x:v>
      </x:c>
      <x:c r="F569" s="15" t="n">
        <x:v>0</x:v>
      </x:c>
      <x:c r="G569" s="19" t="n">
        <x:v>90</x:v>
      </x:c>
      <x:c r="H569" s="19" t="n">
        <x:v>42</x:v>
      </x:c>
      <x:c r="I569" s="17" t="n">
        <x:v>0.3</x:v>
      </x:c>
      <x:c r="J569" s="19" t="n">
        <x:v>2</x:v>
      </x:c>
      <x:c r="K569" s="19" t="n">
        <x:f>E569*G569</x:f>
        <x:v>90</x:v>
      </x:c>
      <x:c r="L569" s="19" t="n">
        <x:f>K569*I569</x:f>
        <x:v>27</x:v>
      </x:c>
      <x:c r="M569" s="19" t="n">
        <x:f>(E569-F569)*G569*(1-I569)</x:f>
        <x:v>62.99999999999999</x:v>
      </x:c>
      <x:c r="N569" s="19" t="n">
        <x:f>(E569-F569)*H569</x:f>
        <x:v>42</x:v>
      </x:c>
      <x:c r="O569" s="19" t="n">
        <x:f>F569*J569</x:f>
        <x:v>0</x:v>
      </x:c>
      <x:c r="P569" s="19" t="n">
        <x:f>M569-N569-O569</x:f>
        <x:v>20.999999999999993</x:v>
      </x:c>
    </x:row>
    <x:row r="570">
      <x:c r="A570" s="15" t="str">
        <x:v>SIM-0566</x:v>
      </x:c>
      <x:c r="B570" s="15" t="str">
        <x:v>2026-03</x:v>
      </x:c>
      <x:c r="C570" s="15" t="str">
        <x:v>Prendas</x:v>
      </x:c>
      <x:c r="D570" s="15" t="str">
        <x:v>Online</x:v>
      </x:c>
      <x:c r="E570" s="15" t="n">
        <x:v>1</x:v>
      </x:c>
      <x:c r="F570" s="15" t="n">
        <x:v>0</x:v>
      </x:c>
      <x:c r="G570" s="19" t="n">
        <x:v>60</x:v>
      </x:c>
      <x:c r="H570" s="19" t="n">
        <x:v>24</x:v>
      </x:c>
      <x:c r="I570" s="17" t="n">
        <x:v>0.2</x:v>
      </x:c>
      <x:c r="J570" s="19" t="n">
        <x:v>6</x:v>
      </x:c>
      <x:c r="K570" s="19" t="n">
        <x:f>E570*G570</x:f>
        <x:v>60</x:v>
      </x:c>
      <x:c r="L570" s="19" t="n">
        <x:f>K570*I570</x:f>
        <x:v>12</x:v>
      </x:c>
      <x:c r="M570" s="19" t="n">
        <x:f>(E570-F570)*G570*(1-I570)</x:f>
        <x:v>48</x:v>
      </x:c>
      <x:c r="N570" s="19" t="n">
        <x:f>(E570-F570)*H570</x:f>
        <x:v>24</x:v>
      </x:c>
      <x:c r="O570" s="19" t="n">
        <x:f>F570*J570</x:f>
        <x:v>0</x:v>
      </x:c>
      <x:c r="P570" s="19" t="n">
        <x:f>M570-N570-O570</x:f>
        <x:v>24</x:v>
      </x:c>
    </x:row>
    <x:row r="571">
      <x:c r="A571" s="15" t="str">
        <x:v>SIM-0567</x:v>
      </x:c>
      <x:c r="B571" s="15" t="str">
        <x:v>2026-03</x:v>
      </x:c>
      <x:c r="C571" s="15" t="str">
        <x:v>Prendas</x:v>
      </x:c>
      <x:c r="D571" s="15" t="str">
        <x:v>Online</x:v>
      </x:c>
      <x:c r="E571" s="15" t="n">
        <x:v>1</x:v>
      </x:c>
      <x:c r="F571" s="15" t="n">
        <x:v>0</x:v>
      </x:c>
      <x:c r="G571" s="19" t="n">
        <x:v>60</x:v>
      </x:c>
      <x:c r="H571" s="19" t="n">
        <x:v>24</x:v>
      </x:c>
      <x:c r="I571" s="17" t="n">
        <x:v>0</x:v>
      </x:c>
      <x:c r="J571" s="19" t="n">
        <x:v>6</x:v>
      </x:c>
      <x:c r="K571" s="19" t="n">
        <x:f>E571*G571</x:f>
        <x:v>60</x:v>
      </x:c>
      <x:c r="L571" s="19" t="n">
        <x:f>K571*I571</x:f>
        <x:v>0</x:v>
      </x:c>
      <x:c r="M571" s="19" t="n">
        <x:f>(E571-F571)*G571*(1-I571)</x:f>
        <x:v>60</x:v>
      </x:c>
      <x:c r="N571" s="19" t="n">
        <x:f>(E571-F571)*H571</x:f>
        <x:v>24</x:v>
      </x:c>
      <x:c r="O571" s="19" t="n">
        <x:f>F571*J571</x:f>
        <x:v>0</x:v>
      </x:c>
      <x:c r="P571" s="19" t="n">
        <x:f>M571-N571-O571</x:f>
        <x:v>36</x:v>
      </x:c>
    </x:row>
    <x:row r="572">
      <x:c r="A572" s="15" t="str">
        <x:v>SIM-0568</x:v>
      </x:c>
      <x:c r="B572" s="15" t="str">
        <x:v>2026-03</x:v>
      </x:c>
      <x:c r="C572" s="15" t="str">
        <x:v>Calzado</x:v>
      </x:c>
      <x:c r="D572" s="15" t="str">
        <x:v>Online</x:v>
      </x:c>
      <x:c r="E572" s="15" t="n">
        <x:v>2</x:v>
      </x:c>
      <x:c r="F572" s="15" t="n">
        <x:v>0</x:v>
      </x:c>
      <x:c r="G572" s="19" t="n">
        <x:v>90</x:v>
      </x:c>
      <x:c r="H572" s="19" t="n">
        <x:v>42</x:v>
      </x:c>
      <x:c r="I572" s="17" t="n">
        <x:v>0.1</x:v>
      </x:c>
      <x:c r="J572" s="19" t="n">
        <x:v>6</x:v>
      </x:c>
      <x:c r="K572" s="19" t="n">
        <x:f>E572*G572</x:f>
        <x:v>180</x:v>
      </x:c>
      <x:c r="L572" s="19" t="n">
        <x:f>K572*I572</x:f>
        <x:v>18</x:v>
      </x:c>
      <x:c r="M572" s="19" t="n">
        <x:f>(E572-F572)*G572*(1-I572)</x:f>
        <x:v>162</x:v>
      </x:c>
      <x:c r="N572" s="19" t="n">
        <x:f>(E572-F572)*H572</x:f>
        <x:v>84</x:v>
      </x:c>
      <x:c r="O572" s="19" t="n">
        <x:f>F572*J572</x:f>
        <x:v>0</x:v>
      </x:c>
      <x:c r="P572" s="19" t="n">
        <x:f>M572-N572-O572</x:f>
        <x:v>78</x:v>
      </x:c>
    </x:row>
    <x:row r="573">
      <x:c r="A573" s="15" t="str">
        <x:v>SIM-0569</x:v>
      </x:c>
      <x:c r="B573" s="15" t="str">
        <x:v>2026-03</x:v>
      </x:c>
      <x:c r="C573" s="15" t="str">
        <x:v>Accesorios</x:v>
      </x:c>
      <x:c r="D573" s="15" t="str">
        <x:v>Online</x:v>
      </x:c>
      <x:c r="E573" s="15" t="n">
        <x:v>1</x:v>
      </x:c>
      <x:c r="F573" s="15" t="n">
        <x:v>0</x:v>
      </x:c>
      <x:c r="G573" s="19" t="n">
        <x:v>30</x:v>
      </x:c>
      <x:c r="H573" s="19" t="n">
        <x:v>9</x:v>
      </x:c>
      <x:c r="I573" s="17" t="n">
        <x:v>0.3</x:v>
      </x:c>
      <x:c r="J573" s="19" t="n">
        <x:v>6</x:v>
      </x:c>
      <x:c r="K573" s="19" t="n">
        <x:f>E573*G573</x:f>
        <x:v>30</x:v>
      </x:c>
      <x:c r="L573" s="19" t="n">
        <x:f>K573*I573</x:f>
        <x:v>9</x:v>
      </x:c>
      <x:c r="M573" s="19" t="n">
        <x:f>(E573-F573)*G573*(1-I573)</x:f>
        <x:v>21</x:v>
      </x:c>
      <x:c r="N573" s="19" t="n">
        <x:f>(E573-F573)*H573</x:f>
        <x:v>9</x:v>
      </x:c>
      <x:c r="O573" s="19" t="n">
        <x:f>F573*J573</x:f>
        <x:v>0</x:v>
      </x:c>
      <x:c r="P573" s="19" t="n">
        <x:f>M573-N573-O573</x:f>
        <x:v>12</x:v>
      </x:c>
    </x:row>
    <x:row r="574">
      <x:c r="A574" s="15" t="str">
        <x:v>SIM-0570</x:v>
      </x:c>
      <x:c r="B574" s="15" t="str">
        <x:v>2026-03</x:v>
      </x:c>
      <x:c r="C574" s="15" t="str">
        <x:v>Calzado</x:v>
      </x:c>
      <x:c r="D574" s="15" t="str">
        <x:v>Tienda</x:v>
      </x:c>
      <x:c r="E574" s="15" t="n">
        <x:v>2</x:v>
      </x:c>
      <x:c r="F574" s="15" t="n">
        <x:v>0</x:v>
      </x:c>
      <x:c r="G574" s="19" t="n">
        <x:v>90</x:v>
      </x:c>
      <x:c r="H574" s="19" t="n">
        <x:v>42</x:v>
      </x:c>
      <x:c r="I574" s="17" t="n">
        <x:v>0</x:v>
      </x:c>
      <x:c r="J574" s="19" t="n">
        <x:v>2</x:v>
      </x:c>
      <x:c r="K574" s="19" t="n">
        <x:f>E574*G574</x:f>
        <x:v>180</x:v>
      </x:c>
      <x:c r="L574" s="19" t="n">
        <x:f>K574*I574</x:f>
        <x:v>0</x:v>
      </x:c>
      <x:c r="M574" s="19" t="n">
        <x:f>(E574-F574)*G574*(1-I574)</x:f>
        <x:v>180</x:v>
      </x:c>
      <x:c r="N574" s="19" t="n">
        <x:f>(E574-F574)*H574</x:f>
        <x:v>84</x:v>
      </x:c>
      <x:c r="O574" s="19" t="n">
        <x:f>F574*J574</x:f>
        <x:v>0</x:v>
      </x:c>
      <x:c r="P574" s="19" t="n">
        <x:f>M574-N574-O574</x:f>
        <x:v>96</x:v>
      </x:c>
    </x:row>
    <x:row r="575">
      <x:c r="A575" s="15" t="str">
        <x:v>SIM-0571</x:v>
      </x:c>
      <x:c r="B575" s="15" t="str">
        <x:v>2026-03</x:v>
      </x:c>
      <x:c r="C575" s="15" t="str">
        <x:v>Accesorios</x:v>
      </x:c>
      <x:c r="D575" s="15" t="str">
        <x:v>Tienda</x:v>
      </x:c>
      <x:c r="E575" s="15" t="n">
        <x:v>1</x:v>
      </x:c>
      <x:c r="F575" s="15" t="n">
        <x:v>0</x:v>
      </x:c>
      <x:c r="G575" s="19" t="n">
        <x:v>30</x:v>
      </x:c>
      <x:c r="H575" s="19" t="n">
        <x:v>9</x:v>
      </x:c>
      <x:c r="I575" s="17" t="n">
        <x:v>0</x:v>
      </x:c>
      <x:c r="J575" s="19" t="n">
        <x:v>2</x:v>
      </x:c>
      <x:c r="K575" s="19" t="n">
        <x:f>E575*G575</x:f>
        <x:v>30</x:v>
      </x:c>
      <x:c r="L575" s="19" t="n">
        <x:f>K575*I575</x:f>
        <x:v>0</x:v>
      </x:c>
      <x:c r="M575" s="19" t="n">
        <x:f>(E575-F575)*G575*(1-I575)</x:f>
        <x:v>30</x:v>
      </x:c>
      <x:c r="N575" s="19" t="n">
        <x:f>(E575-F575)*H575</x:f>
        <x:v>9</x:v>
      </x:c>
      <x:c r="O575" s="19" t="n">
        <x:f>F575*J575</x:f>
        <x:v>0</x:v>
      </x:c>
      <x:c r="P575" s="19" t="n">
        <x:f>M575-N575-O575</x:f>
        <x:v>21</x:v>
      </x:c>
    </x:row>
    <x:row r="576">
      <x:c r="A576" s="15" t="str">
        <x:v>SIM-0572</x:v>
      </x:c>
      <x:c r="B576" s="15" t="str">
        <x:v>2026-03</x:v>
      </x:c>
      <x:c r="C576" s="15" t="str">
        <x:v>Prendas</x:v>
      </x:c>
      <x:c r="D576" s="15" t="str">
        <x:v>Online</x:v>
      </x:c>
      <x:c r="E576" s="15" t="n">
        <x:v>2</x:v>
      </x:c>
      <x:c r="F576" s="15" t="n">
        <x:v>0</x:v>
      </x:c>
      <x:c r="G576" s="19" t="n">
        <x:v>60</x:v>
      </x:c>
      <x:c r="H576" s="19" t="n">
        <x:v>24</x:v>
      </x:c>
      <x:c r="I576" s="17" t="n">
        <x:v>0.1</x:v>
      </x:c>
      <x:c r="J576" s="19" t="n">
        <x:v>6</x:v>
      </x:c>
      <x:c r="K576" s="19" t="n">
        <x:f>E576*G576</x:f>
        <x:v>120</x:v>
      </x:c>
      <x:c r="L576" s="19" t="n">
        <x:f>K576*I576</x:f>
        <x:v>12</x:v>
      </x:c>
      <x:c r="M576" s="19" t="n">
        <x:f>(E576-F576)*G576*(1-I576)</x:f>
        <x:v>108</x:v>
      </x:c>
      <x:c r="N576" s="19" t="n">
        <x:f>(E576-F576)*H576</x:f>
        <x:v>48</x:v>
      </x:c>
      <x:c r="O576" s="19" t="n">
        <x:f>F576*J576</x:f>
        <x:v>0</x:v>
      </x:c>
      <x:c r="P576" s="19" t="n">
        <x:f>M576-N576-O576</x:f>
        <x:v>60</x:v>
      </x:c>
    </x:row>
    <x:row r="577">
      <x:c r="A577" s="15" t="str">
        <x:v>SIM-0573</x:v>
      </x:c>
      <x:c r="B577" s="15" t="str">
        <x:v>2026-03</x:v>
      </x:c>
      <x:c r="C577" s="15" t="str">
        <x:v>Prendas</x:v>
      </x:c>
      <x:c r="D577" s="15" t="str">
        <x:v>Tienda</x:v>
      </x:c>
      <x:c r="E577" s="15" t="n">
        <x:v>2</x:v>
      </x:c>
      <x:c r="F577" s="15" t="n">
        <x:v>0</x:v>
      </x:c>
      <x:c r="G577" s="19" t="n">
        <x:v>60</x:v>
      </x:c>
      <x:c r="H577" s="19" t="n">
        <x:v>24</x:v>
      </x:c>
      <x:c r="I577" s="17" t="n">
        <x:v>0.2</x:v>
      </x:c>
      <x:c r="J577" s="19" t="n">
        <x:v>2</x:v>
      </x:c>
      <x:c r="K577" s="19" t="n">
        <x:f>E577*G577</x:f>
        <x:v>120</x:v>
      </x:c>
      <x:c r="L577" s="19" t="n">
        <x:f>K577*I577</x:f>
        <x:v>24</x:v>
      </x:c>
      <x:c r="M577" s="19" t="n">
        <x:f>(E577-F577)*G577*(1-I577)</x:f>
        <x:v>96</x:v>
      </x:c>
      <x:c r="N577" s="19" t="n">
        <x:f>(E577-F577)*H577</x:f>
        <x:v>48</x:v>
      </x:c>
      <x:c r="O577" s="19" t="n">
        <x:f>F577*J577</x:f>
        <x:v>0</x:v>
      </x:c>
      <x:c r="P577" s="19" t="n">
        <x:f>M577-N577-O577</x:f>
        <x:v>48</x:v>
      </x:c>
    </x:row>
    <x:row r="578">
      <x:c r="A578" s="15" t="str">
        <x:v>SIM-0574</x:v>
      </x:c>
      <x:c r="B578" s="15" t="str">
        <x:v>2026-03</x:v>
      </x:c>
      <x:c r="C578" s="15" t="str">
        <x:v>Calzado</x:v>
      </x:c>
      <x:c r="D578" s="15" t="str">
        <x:v>Online</x:v>
      </x:c>
      <x:c r="E578" s="15" t="n">
        <x:v>3</x:v>
      </x:c>
      <x:c r="F578" s="15" t="n">
        <x:v>0</x:v>
      </x:c>
      <x:c r="G578" s="19" t="n">
        <x:v>90</x:v>
      </x:c>
      <x:c r="H578" s="19" t="n">
        <x:v>42</x:v>
      </x:c>
      <x:c r="I578" s="17" t="n">
        <x:v>0.3</x:v>
      </x:c>
      <x:c r="J578" s="19" t="n">
        <x:v>6</x:v>
      </x:c>
      <x:c r="K578" s="19" t="n">
        <x:f>E578*G578</x:f>
        <x:v>270</x:v>
      </x:c>
      <x:c r="L578" s="19" t="n">
        <x:f>K578*I578</x:f>
        <x:v>81</x:v>
      </x:c>
      <x:c r="M578" s="19" t="n">
        <x:f>(E578-F578)*G578*(1-I578)</x:f>
        <x:v>189</x:v>
      </x:c>
      <x:c r="N578" s="19" t="n">
        <x:f>(E578-F578)*H578</x:f>
        <x:v>126</x:v>
      </x:c>
      <x:c r="O578" s="19" t="n">
        <x:f>F578*J578</x:f>
        <x:v>0</x:v>
      </x:c>
      <x:c r="P578" s="19" t="n">
        <x:f>M578-N578-O578</x:f>
        <x:v>63</x:v>
      </x:c>
    </x:row>
    <x:row r="579">
      <x:c r="A579" s="15" t="str">
        <x:v>SIM-0575</x:v>
      </x:c>
      <x:c r="B579" s="15" t="str">
        <x:v>2026-03</x:v>
      </x:c>
      <x:c r="C579" s="15" t="str">
        <x:v>Calzado</x:v>
      </x:c>
      <x:c r="D579" s="15" t="str">
        <x:v>Online</x:v>
      </x:c>
      <x:c r="E579" s="15" t="n">
        <x:v>1</x:v>
      </x:c>
      <x:c r="F579" s="15" t="n">
        <x:v>0</x:v>
      </x:c>
      <x:c r="G579" s="19" t="n">
        <x:v>90</x:v>
      </x:c>
      <x:c r="H579" s="19" t="n">
        <x:v>42</x:v>
      </x:c>
      <x:c r="I579" s="17" t="n">
        <x:v>0.1</x:v>
      </x:c>
      <x:c r="J579" s="19" t="n">
        <x:v>6</x:v>
      </x:c>
      <x:c r="K579" s="19" t="n">
        <x:f>E579*G579</x:f>
        <x:v>90</x:v>
      </x:c>
      <x:c r="L579" s="19" t="n">
        <x:f>K579*I579</x:f>
        <x:v>9</x:v>
      </x:c>
      <x:c r="M579" s="19" t="n">
        <x:f>(E579-F579)*G579*(1-I579)</x:f>
        <x:v>81</x:v>
      </x:c>
      <x:c r="N579" s="19" t="n">
        <x:f>(E579-F579)*H579</x:f>
        <x:v>42</x:v>
      </x:c>
      <x:c r="O579" s="19" t="n">
        <x:f>F579*J579</x:f>
        <x:v>0</x:v>
      </x:c>
      <x:c r="P579" s="19" t="n">
        <x:f>M579-N579-O579</x:f>
        <x:v>39</x:v>
      </x:c>
    </x:row>
    <x:row r="580">
      <x:c r="A580" s="15" t="str">
        <x:v>SIM-0576</x:v>
      </x:c>
      <x:c r="B580" s="15" t="str">
        <x:v>2026-03</x:v>
      </x:c>
      <x:c r="C580" s="15" t="str">
        <x:v>Calzado</x:v>
      </x:c>
      <x:c r="D580" s="15" t="str">
        <x:v>Online</x:v>
      </x:c>
      <x:c r="E580" s="15" t="n">
        <x:v>1</x:v>
      </x:c>
      <x:c r="F580" s="15" t="n">
        <x:v>0</x:v>
      </x:c>
      <x:c r="G580" s="19" t="n">
        <x:v>90</x:v>
      </x:c>
      <x:c r="H580" s="19" t="n">
        <x:v>42</x:v>
      </x:c>
      <x:c r="I580" s="17" t="n">
        <x:v>0.2</x:v>
      </x:c>
      <x:c r="J580" s="19" t="n">
        <x:v>6</x:v>
      </x:c>
      <x:c r="K580" s="19" t="n">
        <x:f>E580*G580</x:f>
        <x:v>90</x:v>
      </x:c>
      <x:c r="L580" s="19" t="n">
        <x:f>K580*I580</x:f>
        <x:v>18</x:v>
      </x:c>
      <x:c r="M580" s="19" t="n">
        <x:f>(E580-F580)*G580*(1-I580)</x:f>
        <x:v>72</x:v>
      </x:c>
      <x:c r="N580" s="19" t="n">
        <x:f>(E580-F580)*H580</x:f>
        <x:v>42</x:v>
      </x:c>
      <x:c r="O580" s="19" t="n">
        <x:f>F580*J580</x:f>
        <x:v>0</x:v>
      </x:c>
      <x:c r="P580" s="19" t="n">
        <x:f>M580-N580-O580</x:f>
        <x:v>30</x:v>
      </x:c>
    </x:row>
    <x:row r="581">
      <x:c r="A581" s="15" t="str">
        <x:v>SIM-0577</x:v>
      </x:c>
      <x:c r="B581" s="15" t="str">
        <x:v>2026-03</x:v>
      </x:c>
      <x:c r="C581" s="15" t="str">
        <x:v>Calzado</x:v>
      </x:c>
      <x:c r="D581" s="15" t="str">
        <x:v>Online</x:v>
      </x:c>
      <x:c r="E581" s="15" t="n">
        <x:v>1</x:v>
      </x:c>
      <x:c r="F581" s="15" t="n">
        <x:v>0</x:v>
      </x:c>
      <x:c r="G581" s="19" t="n">
        <x:v>90</x:v>
      </x:c>
      <x:c r="H581" s="19" t="n">
        <x:v>42</x:v>
      </x:c>
      <x:c r="I581" s="17" t="n">
        <x:v>0.3</x:v>
      </x:c>
      <x:c r="J581" s="19" t="n">
        <x:v>6</x:v>
      </x:c>
      <x:c r="K581" s="19" t="n">
        <x:f>E581*G581</x:f>
        <x:v>90</x:v>
      </x:c>
      <x:c r="L581" s="19" t="n">
        <x:f>K581*I581</x:f>
        <x:v>27</x:v>
      </x:c>
      <x:c r="M581" s="19" t="n">
        <x:f>(E581-F581)*G581*(1-I581)</x:f>
        <x:v>62.99999999999999</x:v>
      </x:c>
      <x:c r="N581" s="19" t="n">
        <x:f>(E581-F581)*H581</x:f>
        <x:v>42</x:v>
      </x:c>
      <x:c r="O581" s="19" t="n">
        <x:f>F581*J581</x:f>
        <x:v>0</x:v>
      </x:c>
      <x:c r="P581" s="19" t="n">
        <x:f>M581-N581-O581</x:f>
        <x:v>20.999999999999993</x:v>
      </x:c>
    </x:row>
    <x:row r="582">
      <x:c r="A582" s="15" t="str">
        <x:v>SIM-0578</x:v>
      </x:c>
      <x:c r="B582" s="15" t="str">
        <x:v>2026-03</x:v>
      </x:c>
      <x:c r="C582" s="15" t="str">
        <x:v>Calzado</x:v>
      </x:c>
      <x:c r="D582" s="15" t="str">
        <x:v>Tienda</x:v>
      </x:c>
      <x:c r="E582" s="15" t="n">
        <x:v>1</x:v>
      </x:c>
      <x:c r="F582" s="15" t="n">
        <x:v>0</x:v>
      </x:c>
      <x:c r="G582" s="19" t="n">
        <x:v>90</x:v>
      </x:c>
      <x:c r="H582" s="19" t="n">
        <x:v>42</x:v>
      </x:c>
      <x:c r="I582" s="17" t="n">
        <x:v>0.1</x:v>
      </x:c>
      <x:c r="J582" s="19" t="n">
        <x:v>2</x:v>
      </x:c>
      <x:c r="K582" s="19" t="n">
        <x:f>E582*G582</x:f>
        <x:v>90</x:v>
      </x:c>
      <x:c r="L582" s="19" t="n">
        <x:f>K582*I582</x:f>
        <x:v>9</x:v>
      </x:c>
      <x:c r="M582" s="19" t="n">
        <x:f>(E582-F582)*G582*(1-I582)</x:f>
        <x:v>81</x:v>
      </x:c>
      <x:c r="N582" s="19" t="n">
        <x:f>(E582-F582)*H582</x:f>
        <x:v>42</x:v>
      </x:c>
      <x:c r="O582" s="19" t="n">
        <x:f>F582*J582</x:f>
        <x:v>0</x:v>
      </x:c>
      <x:c r="P582" s="19" t="n">
        <x:f>M582-N582-O582</x:f>
        <x:v>39</x:v>
      </x:c>
    </x:row>
    <x:row r="583">
      <x:c r="A583" s="15" t="str">
        <x:v>SIM-0579</x:v>
      </x:c>
      <x:c r="B583" s="15" t="str">
        <x:v>2026-03</x:v>
      </x:c>
      <x:c r="C583" s="15" t="str">
        <x:v>Accesorios</x:v>
      </x:c>
      <x:c r="D583" s="15" t="str">
        <x:v>Tienda</x:v>
      </x:c>
      <x:c r="E583" s="15" t="n">
        <x:v>1</x:v>
      </x:c>
      <x:c r="F583" s="15" t="n">
        <x:v>0</x:v>
      </x:c>
      <x:c r="G583" s="19" t="n">
        <x:v>30</x:v>
      </x:c>
      <x:c r="H583" s="19" t="n">
        <x:v>9</x:v>
      </x:c>
      <x:c r="I583" s="17" t="n">
        <x:v>0.1</x:v>
      </x:c>
      <x:c r="J583" s="19" t="n">
        <x:v>2</x:v>
      </x:c>
      <x:c r="K583" s="19" t="n">
        <x:f>E583*G583</x:f>
        <x:v>30</x:v>
      </x:c>
      <x:c r="L583" s="19" t="n">
        <x:f>K583*I583</x:f>
        <x:v>3</x:v>
      </x:c>
      <x:c r="M583" s="19" t="n">
        <x:f>(E583-F583)*G583*(1-I583)</x:f>
        <x:v>27</x:v>
      </x:c>
      <x:c r="N583" s="19" t="n">
        <x:f>(E583-F583)*H583</x:f>
        <x:v>9</x:v>
      </x:c>
      <x:c r="O583" s="19" t="n">
        <x:f>F583*J583</x:f>
        <x:v>0</x:v>
      </x:c>
      <x:c r="P583" s="19" t="n">
        <x:f>M583-N583-O583</x:f>
        <x:v>18</x:v>
      </x:c>
    </x:row>
    <x:row r="584">
      <x:c r="A584" s="15" t="str">
        <x:v>SIM-0580</x:v>
      </x:c>
      <x:c r="B584" s="15" t="str">
        <x:v>2026-03</x:v>
      </x:c>
      <x:c r="C584" s="15" t="str">
        <x:v>Calzado</x:v>
      </x:c>
      <x:c r="D584" s="15" t="str">
        <x:v>Online</x:v>
      </x:c>
      <x:c r="E584" s="15" t="n">
        <x:v>1</x:v>
      </x:c>
      <x:c r="F584" s="15" t="n">
        <x:v>0</x:v>
      </x:c>
      <x:c r="G584" s="19" t="n">
        <x:v>90</x:v>
      </x:c>
      <x:c r="H584" s="19" t="n">
        <x:v>42</x:v>
      </x:c>
      <x:c r="I584" s="17" t="n">
        <x:v>0</x:v>
      </x:c>
      <x:c r="J584" s="19" t="n">
        <x:v>6</x:v>
      </x:c>
      <x:c r="K584" s="19" t="n">
        <x:f>E584*G584</x:f>
        <x:v>90</x:v>
      </x:c>
      <x:c r="L584" s="19" t="n">
        <x:f>K584*I584</x:f>
        <x:v>0</x:v>
      </x:c>
      <x:c r="M584" s="19" t="n">
        <x:f>(E584-F584)*G584*(1-I584)</x:f>
        <x:v>90</x:v>
      </x:c>
      <x:c r="N584" s="19" t="n">
        <x:f>(E584-F584)*H584</x:f>
        <x:v>42</x:v>
      </x:c>
      <x:c r="O584" s="19" t="n">
        <x:f>F584*J584</x:f>
        <x:v>0</x:v>
      </x:c>
      <x:c r="P584" s="19" t="n">
        <x:f>M584-N584-O584</x:f>
        <x:v>48</x:v>
      </x:c>
    </x:row>
    <x:row r="585">
      <x:c r="A585" s="15" t="str">
        <x:v>SIM-0581</x:v>
      </x:c>
      <x:c r="B585" s="15" t="str">
        <x:v>2026-03</x:v>
      </x:c>
      <x:c r="C585" s="15" t="str">
        <x:v>Prendas</x:v>
      </x:c>
      <x:c r="D585" s="15" t="str">
        <x:v>Tienda</x:v>
      </x:c>
      <x:c r="E585" s="15" t="n">
        <x:v>1</x:v>
      </x:c>
      <x:c r="F585" s="15" t="n">
        <x:v>0</x:v>
      </x:c>
      <x:c r="G585" s="19" t="n">
        <x:v>60</x:v>
      </x:c>
      <x:c r="H585" s="19" t="n">
        <x:v>24</x:v>
      </x:c>
      <x:c r="I585" s="17" t="n">
        <x:v>0.3</x:v>
      </x:c>
      <x:c r="J585" s="19" t="n">
        <x:v>2</x:v>
      </x:c>
      <x:c r="K585" s="19" t="n">
        <x:f>E585*G585</x:f>
        <x:v>60</x:v>
      </x:c>
      <x:c r="L585" s="19" t="n">
        <x:f>K585*I585</x:f>
        <x:v>18</x:v>
      </x:c>
      <x:c r="M585" s="19" t="n">
        <x:f>(E585-F585)*G585*(1-I585)</x:f>
        <x:v>42</x:v>
      </x:c>
      <x:c r="N585" s="19" t="n">
        <x:f>(E585-F585)*H585</x:f>
        <x:v>24</x:v>
      </x:c>
      <x:c r="O585" s="19" t="n">
        <x:f>F585*J585</x:f>
        <x:v>0</x:v>
      </x:c>
      <x:c r="P585" s="19" t="n">
        <x:f>M585-N585-O585</x:f>
        <x:v>18</x:v>
      </x:c>
    </x:row>
    <x:row r="586">
      <x:c r="A586" s="15" t="str">
        <x:v>SIM-0582</x:v>
      </x:c>
      <x:c r="B586" s="15" t="str">
        <x:v>2026-03</x:v>
      </x:c>
      <x:c r="C586" s="15" t="str">
        <x:v>Prendas</x:v>
      </x:c>
      <x:c r="D586" s="15" t="str">
        <x:v>Online</x:v>
      </x:c>
      <x:c r="E586" s="15" t="n">
        <x:v>2</x:v>
      </x:c>
      <x:c r="F586" s="15" t="n">
        <x:v>1</x:v>
      </x:c>
      <x:c r="G586" s="19" t="n">
        <x:v>60</x:v>
      </x:c>
      <x:c r="H586" s="19" t="n">
        <x:v>24</x:v>
      </x:c>
      <x:c r="I586" s="17" t="n">
        <x:v>0.3</x:v>
      </x:c>
      <x:c r="J586" s="19" t="n">
        <x:v>6</x:v>
      </x:c>
      <x:c r="K586" s="19" t="n">
        <x:f>E586*G586</x:f>
        <x:v>120</x:v>
      </x:c>
      <x:c r="L586" s="19" t="n">
        <x:f>K586*I586</x:f>
        <x:v>36</x:v>
      </x:c>
      <x:c r="M586" s="19" t="n">
        <x:f>(E586-F586)*G586*(1-I586)</x:f>
        <x:v>42</x:v>
      </x:c>
      <x:c r="N586" s="19" t="n">
        <x:f>(E586-F586)*H586</x:f>
        <x:v>24</x:v>
      </x:c>
      <x:c r="O586" s="19" t="n">
        <x:f>F586*J586</x:f>
        <x:v>6</x:v>
      </x:c>
      <x:c r="P586" s="19" t="n">
        <x:f>M586-N586-O586</x:f>
        <x:v>12</x:v>
      </x:c>
    </x:row>
    <x:row r="587">
      <x:c r="A587" s="15" t="str">
        <x:v>SIM-0583</x:v>
      </x:c>
      <x:c r="B587" s="15" t="str">
        <x:v>2026-03</x:v>
      </x:c>
      <x:c r="C587" s="15" t="str">
        <x:v>Prendas</x:v>
      </x:c>
      <x:c r="D587" s="15" t="str">
        <x:v>Tienda</x:v>
      </x:c>
      <x:c r="E587" s="15" t="n">
        <x:v>2</x:v>
      </x:c>
      <x:c r="F587" s="15" t="n">
        <x:v>0</x:v>
      </x:c>
      <x:c r="G587" s="19" t="n">
        <x:v>60</x:v>
      </x:c>
      <x:c r="H587" s="19" t="n">
        <x:v>24</x:v>
      </x:c>
      <x:c r="I587" s="17" t="n">
        <x:v>0</x:v>
      </x:c>
      <x:c r="J587" s="19" t="n">
        <x:v>2</x:v>
      </x:c>
      <x:c r="K587" s="19" t="n">
        <x:f>E587*G587</x:f>
        <x:v>120</x:v>
      </x:c>
      <x:c r="L587" s="19" t="n">
        <x:f>K587*I587</x:f>
        <x:v>0</x:v>
      </x:c>
      <x:c r="M587" s="19" t="n">
        <x:f>(E587-F587)*G587*(1-I587)</x:f>
        <x:v>120</x:v>
      </x:c>
      <x:c r="N587" s="19" t="n">
        <x:f>(E587-F587)*H587</x:f>
        <x:v>48</x:v>
      </x:c>
      <x:c r="O587" s="19" t="n">
        <x:f>F587*J587</x:f>
        <x:v>0</x:v>
      </x:c>
      <x:c r="P587" s="19" t="n">
        <x:f>M587-N587-O587</x:f>
        <x:v>72</x:v>
      </x:c>
    </x:row>
    <x:row r="588">
      <x:c r="A588" s="15" t="str">
        <x:v>SIM-0584</x:v>
      </x:c>
      <x:c r="B588" s="15" t="str">
        <x:v>2026-03</x:v>
      </x:c>
      <x:c r="C588" s="15" t="str">
        <x:v>Calzado</x:v>
      </x:c>
      <x:c r="D588" s="15" t="str">
        <x:v>Tienda</x:v>
      </x:c>
      <x:c r="E588" s="15" t="n">
        <x:v>1</x:v>
      </x:c>
      <x:c r="F588" s="15" t="n">
        <x:v>0</x:v>
      </x:c>
      <x:c r="G588" s="19" t="n">
        <x:v>90</x:v>
      </x:c>
      <x:c r="H588" s="19" t="n">
        <x:v>42</x:v>
      </x:c>
      <x:c r="I588" s="17" t="n">
        <x:v>0.1</x:v>
      </x:c>
      <x:c r="J588" s="19" t="n">
        <x:v>2</x:v>
      </x:c>
      <x:c r="K588" s="19" t="n">
        <x:f>E588*G588</x:f>
        <x:v>90</x:v>
      </x:c>
      <x:c r="L588" s="19" t="n">
        <x:f>K588*I588</x:f>
        <x:v>9</x:v>
      </x:c>
      <x:c r="M588" s="19" t="n">
        <x:f>(E588-F588)*G588*(1-I588)</x:f>
        <x:v>81</x:v>
      </x:c>
      <x:c r="N588" s="19" t="n">
        <x:f>(E588-F588)*H588</x:f>
        <x:v>42</x:v>
      </x:c>
      <x:c r="O588" s="19" t="n">
        <x:f>F588*J588</x:f>
        <x:v>0</x:v>
      </x:c>
      <x:c r="P588" s="19" t="n">
        <x:f>M588-N588-O588</x:f>
        <x:v>39</x:v>
      </x:c>
    </x:row>
    <x:row r="589">
      <x:c r="A589" s="15" t="str">
        <x:v>SIM-0585</x:v>
      </x:c>
      <x:c r="B589" s="15" t="str">
        <x:v>2026-03</x:v>
      </x:c>
      <x:c r="C589" s="15" t="str">
        <x:v>Prendas</x:v>
      </x:c>
      <x:c r="D589" s="15" t="str">
        <x:v>Tienda</x:v>
      </x:c>
      <x:c r="E589" s="15" t="n">
        <x:v>1</x:v>
      </x:c>
      <x:c r="F589" s="15" t="n">
        <x:v>0</x:v>
      </x:c>
      <x:c r="G589" s="19" t="n">
        <x:v>60</x:v>
      </x:c>
      <x:c r="H589" s="19" t="n">
        <x:v>24</x:v>
      </x:c>
      <x:c r="I589" s="17" t="n">
        <x:v>0</x:v>
      </x:c>
      <x:c r="J589" s="19" t="n">
        <x:v>2</x:v>
      </x:c>
      <x:c r="K589" s="19" t="n">
        <x:f>E589*G589</x:f>
        <x:v>60</x:v>
      </x:c>
      <x:c r="L589" s="19" t="n">
        <x:f>K589*I589</x:f>
        <x:v>0</x:v>
      </x:c>
      <x:c r="M589" s="19" t="n">
        <x:f>(E589-F589)*G589*(1-I589)</x:f>
        <x:v>60</x:v>
      </x:c>
      <x:c r="N589" s="19" t="n">
        <x:f>(E589-F589)*H589</x:f>
        <x:v>24</x:v>
      </x:c>
      <x:c r="O589" s="19" t="n">
        <x:f>F589*J589</x:f>
        <x:v>0</x:v>
      </x:c>
      <x:c r="P589" s="19" t="n">
        <x:f>M589-N589-O589</x:f>
        <x:v>36</x:v>
      </x:c>
    </x:row>
    <x:row r="590">
      <x:c r="A590" s="15" t="str">
        <x:v>SIM-0586</x:v>
      </x:c>
      <x:c r="B590" s="15" t="str">
        <x:v>2026-03</x:v>
      </x:c>
      <x:c r="C590" s="15" t="str">
        <x:v>Prendas</x:v>
      </x:c>
      <x:c r="D590" s="15" t="str">
        <x:v>Tienda</x:v>
      </x:c>
      <x:c r="E590" s="15" t="n">
        <x:v>2</x:v>
      </x:c>
      <x:c r="F590" s="15" t="n">
        <x:v>1</x:v>
      </x:c>
      <x:c r="G590" s="19" t="n">
        <x:v>60</x:v>
      </x:c>
      <x:c r="H590" s="19" t="n">
        <x:v>24</x:v>
      </x:c>
      <x:c r="I590" s="17" t="n">
        <x:v>0.2</x:v>
      </x:c>
      <x:c r="J590" s="19" t="n">
        <x:v>2</x:v>
      </x:c>
      <x:c r="K590" s="19" t="n">
        <x:f>E590*G590</x:f>
        <x:v>120</x:v>
      </x:c>
      <x:c r="L590" s="19" t="n">
        <x:f>K590*I590</x:f>
        <x:v>24</x:v>
      </x:c>
      <x:c r="M590" s="19" t="n">
        <x:f>(E590-F590)*G590*(1-I590)</x:f>
        <x:v>48</x:v>
      </x:c>
      <x:c r="N590" s="19" t="n">
        <x:f>(E590-F590)*H590</x:f>
        <x:v>24</x:v>
      </x:c>
      <x:c r="O590" s="19" t="n">
        <x:f>F590*J590</x:f>
        <x:v>2</x:v>
      </x:c>
      <x:c r="P590" s="19" t="n">
        <x:f>M590-N590-O590</x:f>
        <x:v>22</x:v>
      </x:c>
    </x:row>
    <x:row r="591">
      <x:c r="A591" s="15" t="str">
        <x:v>SIM-0587</x:v>
      </x:c>
      <x:c r="B591" s="15" t="str">
        <x:v>2026-03</x:v>
      </x:c>
      <x:c r="C591" s="15" t="str">
        <x:v>Calzado</x:v>
      </x:c>
      <x:c r="D591" s="15" t="str">
        <x:v>Online</x:v>
      </x:c>
      <x:c r="E591" s="15" t="n">
        <x:v>1</x:v>
      </x:c>
      <x:c r="F591" s="15" t="n">
        <x:v>0</x:v>
      </x:c>
      <x:c r="G591" s="19" t="n">
        <x:v>90</x:v>
      </x:c>
      <x:c r="H591" s="19" t="n">
        <x:v>42</x:v>
      </x:c>
      <x:c r="I591" s="17" t="n">
        <x:v>0</x:v>
      </x:c>
      <x:c r="J591" s="19" t="n">
        <x:v>6</x:v>
      </x:c>
      <x:c r="K591" s="19" t="n">
        <x:f>E591*G591</x:f>
        <x:v>90</x:v>
      </x:c>
      <x:c r="L591" s="19" t="n">
        <x:f>K591*I591</x:f>
        <x:v>0</x:v>
      </x:c>
      <x:c r="M591" s="19" t="n">
        <x:f>(E591-F591)*G591*(1-I591)</x:f>
        <x:v>90</x:v>
      </x:c>
      <x:c r="N591" s="19" t="n">
        <x:f>(E591-F591)*H591</x:f>
        <x:v>42</x:v>
      </x:c>
      <x:c r="O591" s="19" t="n">
        <x:f>F591*J591</x:f>
        <x:v>0</x:v>
      </x:c>
      <x:c r="P591" s="19" t="n">
        <x:f>M591-N591-O591</x:f>
        <x:v>48</x:v>
      </x:c>
    </x:row>
    <x:row r="592">
      <x:c r="A592" s="15" t="str">
        <x:v>SIM-0588</x:v>
      </x:c>
      <x:c r="B592" s="15" t="str">
        <x:v>2026-03</x:v>
      </x:c>
      <x:c r="C592" s="15" t="str">
        <x:v>Calzado</x:v>
      </x:c>
      <x:c r="D592" s="15" t="str">
        <x:v>Online</x:v>
      </x:c>
      <x:c r="E592" s="15" t="n">
        <x:v>2</x:v>
      </x:c>
      <x:c r="F592" s="15" t="n">
        <x:v>0</x:v>
      </x:c>
      <x:c r="G592" s="19" t="n">
        <x:v>90</x:v>
      </x:c>
      <x:c r="H592" s="19" t="n">
        <x:v>42</x:v>
      </x:c>
      <x:c r="I592" s="17" t="n">
        <x:v>0.2</x:v>
      </x:c>
      <x:c r="J592" s="19" t="n">
        <x:v>6</x:v>
      </x:c>
      <x:c r="K592" s="19" t="n">
        <x:f>E592*G592</x:f>
        <x:v>180</x:v>
      </x:c>
      <x:c r="L592" s="19" t="n">
        <x:f>K592*I592</x:f>
        <x:v>36</x:v>
      </x:c>
      <x:c r="M592" s="19" t="n">
        <x:f>(E592-F592)*G592*(1-I592)</x:f>
        <x:v>144</x:v>
      </x:c>
      <x:c r="N592" s="19" t="n">
        <x:f>(E592-F592)*H592</x:f>
        <x:v>84</x:v>
      </x:c>
      <x:c r="O592" s="19" t="n">
        <x:f>F592*J592</x:f>
        <x:v>0</x:v>
      </x:c>
      <x:c r="P592" s="19" t="n">
        <x:f>M592-N592-O592</x:f>
        <x:v>60</x:v>
      </x:c>
    </x:row>
    <x:row r="593">
      <x:c r="A593" s="15" t="str">
        <x:v>SIM-0589</x:v>
      </x:c>
      <x:c r="B593" s="15" t="str">
        <x:v>2026-03</x:v>
      </x:c>
      <x:c r="C593" s="15" t="str">
        <x:v>Prendas</x:v>
      </x:c>
      <x:c r="D593" s="15" t="str">
        <x:v>Tienda</x:v>
      </x:c>
      <x:c r="E593" s="15" t="n">
        <x:v>2</x:v>
      </x:c>
      <x:c r="F593" s="15" t="n">
        <x:v>0</x:v>
      </x:c>
      <x:c r="G593" s="19" t="n">
        <x:v>60</x:v>
      </x:c>
      <x:c r="H593" s="19" t="n">
        <x:v>24</x:v>
      </x:c>
      <x:c r="I593" s="17" t="n">
        <x:v>0</x:v>
      </x:c>
      <x:c r="J593" s="19" t="n">
        <x:v>2</x:v>
      </x:c>
      <x:c r="K593" s="19" t="n">
        <x:f>E593*G593</x:f>
        <x:v>120</x:v>
      </x:c>
      <x:c r="L593" s="19" t="n">
        <x:f>K593*I593</x:f>
        <x:v>0</x:v>
      </x:c>
      <x:c r="M593" s="19" t="n">
        <x:f>(E593-F593)*G593*(1-I593)</x:f>
        <x:v>120</x:v>
      </x:c>
      <x:c r="N593" s="19" t="n">
        <x:f>(E593-F593)*H593</x:f>
        <x:v>48</x:v>
      </x:c>
      <x:c r="O593" s="19" t="n">
        <x:f>F593*J593</x:f>
        <x:v>0</x:v>
      </x:c>
      <x:c r="P593" s="19" t="n">
        <x:f>M593-N593-O593</x:f>
        <x:v>72</x:v>
      </x:c>
    </x:row>
    <x:row r="594">
      <x:c r="A594" s="15" t="str">
        <x:v>SIM-0590</x:v>
      </x:c>
      <x:c r="B594" s="15" t="str">
        <x:v>2026-03</x:v>
      </x:c>
      <x:c r="C594" s="15" t="str">
        <x:v>Prendas</x:v>
      </x:c>
      <x:c r="D594" s="15" t="str">
        <x:v>Tienda</x:v>
      </x:c>
      <x:c r="E594" s="15" t="n">
        <x:v>3</x:v>
      </x:c>
      <x:c r="F594" s="15" t="n">
        <x:v>0</x:v>
      </x:c>
      <x:c r="G594" s="19" t="n">
        <x:v>60</x:v>
      </x:c>
      <x:c r="H594" s="19" t="n">
        <x:v>24</x:v>
      </x:c>
      <x:c r="I594" s="17" t="n">
        <x:v>0</x:v>
      </x:c>
      <x:c r="J594" s="19" t="n">
        <x:v>2</x:v>
      </x:c>
      <x:c r="K594" s="19" t="n">
        <x:f>E594*G594</x:f>
        <x:v>180</x:v>
      </x:c>
      <x:c r="L594" s="19" t="n">
        <x:f>K594*I594</x:f>
        <x:v>0</x:v>
      </x:c>
      <x:c r="M594" s="19" t="n">
        <x:f>(E594-F594)*G594*(1-I594)</x:f>
        <x:v>180</x:v>
      </x:c>
      <x:c r="N594" s="19" t="n">
        <x:f>(E594-F594)*H594</x:f>
        <x:v>72</x:v>
      </x:c>
      <x:c r="O594" s="19" t="n">
        <x:f>F594*J594</x:f>
        <x:v>0</x:v>
      </x:c>
      <x:c r="P594" s="19" t="n">
        <x:f>M594-N594-O594</x:f>
        <x:v>108</x:v>
      </x:c>
    </x:row>
    <x:row r="595">
      <x:c r="A595" s="15" t="str">
        <x:v>SIM-0591</x:v>
      </x:c>
      <x:c r="B595" s="15" t="str">
        <x:v>2026-03</x:v>
      </x:c>
      <x:c r="C595" s="15" t="str">
        <x:v>Prendas</x:v>
      </x:c>
      <x:c r="D595" s="15" t="str">
        <x:v>Online</x:v>
      </x:c>
      <x:c r="E595" s="15" t="n">
        <x:v>1</x:v>
      </x:c>
      <x:c r="F595" s="15" t="n">
        <x:v>0</x:v>
      </x:c>
      <x:c r="G595" s="19" t="n">
        <x:v>60</x:v>
      </x:c>
      <x:c r="H595" s="19" t="n">
        <x:v>24</x:v>
      </x:c>
      <x:c r="I595" s="17" t="n">
        <x:v>0.1</x:v>
      </x:c>
      <x:c r="J595" s="19" t="n">
        <x:v>6</x:v>
      </x:c>
      <x:c r="K595" s="19" t="n">
        <x:f>E595*G595</x:f>
        <x:v>60</x:v>
      </x:c>
      <x:c r="L595" s="19" t="n">
        <x:f>K595*I595</x:f>
        <x:v>6</x:v>
      </x:c>
      <x:c r="M595" s="19" t="n">
        <x:f>(E595-F595)*G595*(1-I595)</x:f>
        <x:v>54</x:v>
      </x:c>
      <x:c r="N595" s="19" t="n">
        <x:f>(E595-F595)*H595</x:f>
        <x:v>24</x:v>
      </x:c>
      <x:c r="O595" s="19" t="n">
        <x:f>F595*J595</x:f>
        <x:v>0</x:v>
      </x:c>
      <x:c r="P595" s="19" t="n">
        <x:f>M595-N595-O595</x:f>
        <x:v>30</x:v>
      </x:c>
    </x:row>
    <x:row r="596">
      <x:c r="A596" s="15" t="str">
        <x:v>SIM-0592</x:v>
      </x:c>
      <x:c r="B596" s="15" t="str">
        <x:v>2026-03</x:v>
      </x:c>
      <x:c r="C596" s="15" t="str">
        <x:v>Accesorios</x:v>
      </x:c>
      <x:c r="D596" s="15" t="str">
        <x:v>Online</x:v>
      </x:c>
      <x:c r="E596" s="15" t="n">
        <x:v>2</x:v>
      </x:c>
      <x:c r="F596" s="15" t="n">
        <x:v>0</x:v>
      </x:c>
      <x:c r="G596" s="19" t="n">
        <x:v>30</x:v>
      </x:c>
      <x:c r="H596" s="19" t="n">
        <x:v>9</x:v>
      </x:c>
      <x:c r="I596" s="17" t="n">
        <x:v>0</x:v>
      </x:c>
      <x:c r="J596" s="19" t="n">
        <x:v>6</x:v>
      </x:c>
      <x:c r="K596" s="19" t="n">
        <x:f>E596*G596</x:f>
        <x:v>60</x:v>
      </x:c>
      <x:c r="L596" s="19" t="n">
        <x:f>K596*I596</x:f>
        <x:v>0</x:v>
      </x:c>
      <x:c r="M596" s="19" t="n">
        <x:f>(E596-F596)*G596*(1-I596)</x:f>
        <x:v>60</x:v>
      </x:c>
      <x:c r="N596" s="19" t="n">
        <x:f>(E596-F596)*H596</x:f>
        <x:v>18</x:v>
      </x:c>
      <x:c r="O596" s="19" t="n">
        <x:f>F596*J596</x:f>
        <x:v>0</x:v>
      </x:c>
      <x:c r="P596" s="19" t="n">
        <x:f>M596-N596-O596</x:f>
        <x:v>42</x:v>
      </x:c>
    </x:row>
    <x:row r="597">
      <x:c r="A597" s="15" t="str">
        <x:v>SIM-0593</x:v>
      </x:c>
      <x:c r="B597" s="15" t="str">
        <x:v>2026-03</x:v>
      </x:c>
      <x:c r="C597" s="15" t="str">
        <x:v>Accesorios</x:v>
      </x:c>
      <x:c r="D597" s="15" t="str">
        <x:v>Tienda</x:v>
      </x:c>
      <x:c r="E597" s="15" t="n">
        <x:v>3</x:v>
      </x:c>
      <x:c r="F597" s="15" t="n">
        <x:v>0</x:v>
      </x:c>
      <x:c r="G597" s="19" t="n">
        <x:v>30</x:v>
      </x:c>
      <x:c r="H597" s="19" t="n">
        <x:v>9</x:v>
      </x:c>
      <x:c r="I597" s="17" t="n">
        <x:v>0.1</x:v>
      </x:c>
      <x:c r="J597" s="19" t="n">
        <x:v>2</x:v>
      </x:c>
      <x:c r="K597" s="19" t="n">
        <x:f>E597*G597</x:f>
        <x:v>90</x:v>
      </x:c>
      <x:c r="L597" s="19" t="n">
        <x:f>K597*I597</x:f>
        <x:v>9</x:v>
      </x:c>
      <x:c r="M597" s="19" t="n">
        <x:f>(E597-F597)*G597*(1-I597)</x:f>
        <x:v>81</x:v>
      </x:c>
      <x:c r="N597" s="19" t="n">
        <x:f>(E597-F597)*H597</x:f>
        <x:v>27</x:v>
      </x:c>
      <x:c r="O597" s="19" t="n">
        <x:f>F597*J597</x:f>
        <x:v>0</x:v>
      </x:c>
      <x:c r="P597" s="19" t="n">
        <x:f>M597-N597-O597</x:f>
        <x:v>54</x:v>
      </x:c>
    </x:row>
    <x:row r="598">
      <x:c r="A598" s="15" t="str">
        <x:v>SIM-0594</x:v>
      </x:c>
      <x:c r="B598" s="15" t="str">
        <x:v>2026-03</x:v>
      </x:c>
      <x:c r="C598" s="15" t="str">
        <x:v>Prendas</x:v>
      </x:c>
      <x:c r="D598" s="15" t="str">
        <x:v>Tienda</x:v>
      </x:c>
      <x:c r="E598" s="15" t="n">
        <x:v>1</x:v>
      </x:c>
      <x:c r="F598" s="15" t="n">
        <x:v>0</x:v>
      </x:c>
      <x:c r="G598" s="19" t="n">
        <x:v>60</x:v>
      </x:c>
      <x:c r="H598" s="19" t="n">
        <x:v>24</x:v>
      </x:c>
      <x:c r="I598" s="17" t="n">
        <x:v>0.3</x:v>
      </x:c>
      <x:c r="J598" s="19" t="n">
        <x:v>2</x:v>
      </x:c>
      <x:c r="K598" s="19" t="n">
        <x:f>E598*G598</x:f>
        <x:v>60</x:v>
      </x:c>
      <x:c r="L598" s="19" t="n">
        <x:f>K598*I598</x:f>
        <x:v>18</x:v>
      </x:c>
      <x:c r="M598" s="19" t="n">
        <x:f>(E598-F598)*G598*(1-I598)</x:f>
        <x:v>42</x:v>
      </x:c>
      <x:c r="N598" s="19" t="n">
        <x:f>(E598-F598)*H598</x:f>
        <x:v>24</x:v>
      </x:c>
      <x:c r="O598" s="19" t="n">
        <x:f>F598*J598</x:f>
        <x:v>0</x:v>
      </x:c>
      <x:c r="P598" s="19" t="n">
        <x:f>M598-N598-O598</x:f>
        <x:v>18</x:v>
      </x:c>
    </x:row>
    <x:row r="599">
      <x:c r="A599" s="15" t="str">
        <x:v>SIM-0595</x:v>
      </x:c>
      <x:c r="B599" s="15" t="str">
        <x:v>2026-03</x:v>
      </x:c>
      <x:c r="C599" s="15" t="str">
        <x:v>Accesorios</x:v>
      </x:c>
      <x:c r="D599" s="15" t="str">
        <x:v>Online</x:v>
      </x:c>
      <x:c r="E599" s="15" t="n">
        <x:v>1</x:v>
      </x:c>
      <x:c r="F599" s="15" t="n">
        <x:v>0</x:v>
      </x:c>
      <x:c r="G599" s="19" t="n">
        <x:v>30</x:v>
      </x:c>
      <x:c r="H599" s="19" t="n">
        <x:v>9</x:v>
      </x:c>
      <x:c r="I599" s="17" t="n">
        <x:v>0.1</x:v>
      </x:c>
      <x:c r="J599" s="19" t="n">
        <x:v>6</x:v>
      </x:c>
      <x:c r="K599" s="19" t="n">
        <x:f>E599*G599</x:f>
        <x:v>30</x:v>
      </x:c>
      <x:c r="L599" s="19" t="n">
        <x:f>K599*I599</x:f>
        <x:v>3</x:v>
      </x:c>
      <x:c r="M599" s="19" t="n">
        <x:f>(E599-F599)*G599*(1-I599)</x:f>
        <x:v>27</x:v>
      </x:c>
      <x:c r="N599" s="19" t="n">
        <x:f>(E599-F599)*H599</x:f>
        <x:v>9</x:v>
      </x:c>
      <x:c r="O599" s="19" t="n">
        <x:f>F599*J599</x:f>
        <x:v>0</x:v>
      </x:c>
      <x:c r="P599" s="19" t="n">
        <x:f>M599-N599-O599</x:f>
        <x:v>18</x:v>
      </x:c>
    </x:row>
    <x:row r="600">
      <x:c r="A600" s="15" t="str">
        <x:v>SIM-0596</x:v>
      </x:c>
      <x:c r="B600" s="15" t="str">
        <x:v>2026-03</x:v>
      </x:c>
      <x:c r="C600" s="15" t="str">
        <x:v>Prendas</x:v>
      </x:c>
      <x:c r="D600" s="15" t="str">
        <x:v>Tienda</x:v>
      </x:c>
      <x:c r="E600" s="15" t="n">
        <x:v>1</x:v>
      </x:c>
      <x:c r="F600" s="15" t="n">
        <x:v>0</x:v>
      </x:c>
      <x:c r="G600" s="19" t="n">
        <x:v>60</x:v>
      </x:c>
      <x:c r="H600" s="19" t="n">
        <x:v>24</x:v>
      </x:c>
      <x:c r="I600" s="17" t="n">
        <x:v>0.1</x:v>
      </x:c>
      <x:c r="J600" s="19" t="n">
        <x:v>2</x:v>
      </x:c>
      <x:c r="K600" s="19" t="n">
        <x:f>E600*G600</x:f>
        <x:v>60</x:v>
      </x:c>
      <x:c r="L600" s="19" t="n">
        <x:f>K600*I600</x:f>
        <x:v>6</x:v>
      </x:c>
      <x:c r="M600" s="19" t="n">
        <x:f>(E600-F600)*G600*(1-I600)</x:f>
        <x:v>54</x:v>
      </x:c>
      <x:c r="N600" s="19" t="n">
        <x:f>(E600-F600)*H600</x:f>
        <x:v>24</x:v>
      </x:c>
      <x:c r="O600" s="19" t="n">
        <x:f>F600*J600</x:f>
        <x:v>0</x:v>
      </x:c>
      <x:c r="P600" s="19" t="n">
        <x:f>M600-N600-O600</x:f>
        <x:v>30</x:v>
      </x:c>
    </x:row>
    <x:row r="601">
      <x:c r="A601" s="15" t="str">
        <x:v>SIM-0597</x:v>
      </x:c>
      <x:c r="B601" s="15" t="str">
        <x:v>2026-03</x:v>
      </x:c>
      <x:c r="C601" s="15" t="str">
        <x:v>Calzado</x:v>
      </x:c>
      <x:c r="D601" s="15" t="str">
        <x:v>Tienda</x:v>
      </x:c>
      <x:c r="E601" s="15" t="n">
        <x:v>1</x:v>
      </x:c>
      <x:c r="F601" s="15" t="n">
        <x:v>0</x:v>
      </x:c>
      <x:c r="G601" s="19" t="n">
        <x:v>90</x:v>
      </x:c>
      <x:c r="H601" s="19" t="n">
        <x:v>42</x:v>
      </x:c>
      <x:c r="I601" s="17" t="n">
        <x:v>0</x:v>
      </x:c>
      <x:c r="J601" s="19" t="n">
        <x:v>2</x:v>
      </x:c>
      <x:c r="K601" s="19" t="n">
        <x:f>E601*G601</x:f>
        <x:v>90</x:v>
      </x:c>
      <x:c r="L601" s="19" t="n">
        <x:f>K601*I601</x:f>
        <x:v>0</x:v>
      </x:c>
      <x:c r="M601" s="19" t="n">
        <x:f>(E601-F601)*G601*(1-I601)</x:f>
        <x:v>90</x:v>
      </x:c>
      <x:c r="N601" s="19" t="n">
        <x:f>(E601-F601)*H601</x:f>
        <x:v>42</x:v>
      </x:c>
      <x:c r="O601" s="19" t="n">
        <x:f>F601*J601</x:f>
        <x:v>0</x:v>
      </x:c>
      <x:c r="P601" s="19" t="n">
        <x:f>M601-N601-O601</x:f>
        <x:v>48</x:v>
      </x:c>
    </x:row>
    <x:row r="602">
      <x:c r="A602" s="15" t="str">
        <x:v>SIM-0598</x:v>
      </x:c>
      <x:c r="B602" s="15" t="str">
        <x:v>2026-03</x:v>
      </x:c>
      <x:c r="C602" s="15" t="str">
        <x:v>Calzado</x:v>
      </x:c>
      <x:c r="D602" s="15" t="str">
        <x:v>Online</x:v>
      </x:c>
      <x:c r="E602" s="15" t="n">
        <x:v>1</x:v>
      </x:c>
      <x:c r="F602" s="15" t="n">
        <x:v>0</x:v>
      </x:c>
      <x:c r="G602" s="19" t="n">
        <x:v>90</x:v>
      </x:c>
      <x:c r="H602" s="19" t="n">
        <x:v>42</x:v>
      </x:c>
      <x:c r="I602" s="17" t="n">
        <x:v>0.3</x:v>
      </x:c>
      <x:c r="J602" s="19" t="n">
        <x:v>6</x:v>
      </x:c>
      <x:c r="K602" s="19" t="n">
        <x:f>E602*G602</x:f>
        <x:v>90</x:v>
      </x:c>
      <x:c r="L602" s="19" t="n">
        <x:f>K602*I602</x:f>
        <x:v>27</x:v>
      </x:c>
      <x:c r="M602" s="19" t="n">
        <x:f>(E602-F602)*G602*(1-I602)</x:f>
        <x:v>62.99999999999999</x:v>
      </x:c>
      <x:c r="N602" s="19" t="n">
        <x:f>(E602-F602)*H602</x:f>
        <x:v>42</x:v>
      </x:c>
      <x:c r="O602" s="19" t="n">
        <x:f>F602*J602</x:f>
        <x:v>0</x:v>
      </x:c>
      <x:c r="P602" s="19" t="n">
        <x:f>M602-N602-O602</x:f>
        <x:v>20.999999999999993</x:v>
      </x:c>
    </x:row>
    <x:row r="603">
      <x:c r="A603" s="15" t="str">
        <x:v>SIM-0599</x:v>
      </x:c>
      <x:c r="B603" s="15" t="str">
        <x:v>2026-03</x:v>
      </x:c>
      <x:c r="C603" s="15" t="str">
        <x:v>Prendas</x:v>
      </x:c>
      <x:c r="D603" s="15" t="str">
        <x:v>Online</x:v>
      </x:c>
      <x:c r="E603" s="15" t="n">
        <x:v>1</x:v>
      </x:c>
      <x:c r="F603" s="15" t="n">
        <x:v>0</x:v>
      </x:c>
      <x:c r="G603" s="19" t="n">
        <x:v>60</x:v>
      </x:c>
      <x:c r="H603" s="19" t="n">
        <x:v>24</x:v>
      </x:c>
      <x:c r="I603" s="17" t="n">
        <x:v>0.3</x:v>
      </x:c>
      <x:c r="J603" s="19" t="n">
        <x:v>6</x:v>
      </x:c>
      <x:c r="K603" s="19" t="n">
        <x:f>E603*G603</x:f>
        <x:v>60</x:v>
      </x:c>
      <x:c r="L603" s="19" t="n">
        <x:f>K603*I603</x:f>
        <x:v>18</x:v>
      </x:c>
      <x:c r="M603" s="19" t="n">
        <x:f>(E603-F603)*G603*(1-I603)</x:f>
        <x:v>42</x:v>
      </x:c>
      <x:c r="N603" s="19" t="n">
        <x:f>(E603-F603)*H603</x:f>
        <x:v>24</x:v>
      </x:c>
      <x:c r="O603" s="19" t="n">
        <x:f>F603*J603</x:f>
        <x:v>0</x:v>
      </x:c>
      <x:c r="P603" s="19" t="n">
        <x:f>M603-N603-O603</x:f>
        <x:v>18</x:v>
      </x:c>
    </x:row>
    <x:row r="604">
      <x:c r="A604" s="15" t="str">
        <x:v>SIM-0600</x:v>
      </x:c>
      <x:c r="B604" s="15" t="str">
        <x:v>2026-03</x:v>
      </x:c>
      <x:c r="C604" s="15" t="str">
        <x:v>Calzado</x:v>
      </x:c>
      <x:c r="D604" s="15" t="str">
        <x:v>Tienda</x:v>
      </x:c>
      <x:c r="E604" s="15" t="n">
        <x:v>1</x:v>
      </x:c>
      <x:c r="F604" s="15" t="n">
        <x:v>0</x:v>
      </x:c>
      <x:c r="G604" s="19" t="n">
        <x:v>90</x:v>
      </x:c>
      <x:c r="H604" s="19" t="n">
        <x:v>42</x:v>
      </x:c>
      <x:c r="I604" s="17" t="n">
        <x:v>0</x:v>
      </x:c>
      <x:c r="J604" s="19" t="n">
        <x:v>2</x:v>
      </x:c>
      <x:c r="K604" s="19" t="n">
        <x:f>E604*G604</x:f>
        <x:v>90</x:v>
      </x:c>
      <x:c r="L604" s="19" t="n">
        <x:f>K604*I604</x:f>
        <x:v>0</x:v>
      </x:c>
      <x:c r="M604" s="19" t="n">
        <x:f>(E604-F604)*G604*(1-I604)</x:f>
        <x:v>90</x:v>
      </x:c>
      <x:c r="N604" s="19" t="n">
        <x:f>(E604-F604)*H604</x:f>
        <x:v>42</x:v>
      </x:c>
      <x:c r="O604" s="19" t="n">
        <x:f>F604*J604</x:f>
        <x:v>0</x:v>
      </x:c>
      <x:c r="P604" s="19" t="n">
        <x:f>M604-N604-O604</x:f>
        <x:v>48</x:v>
      </x:c>
    </x:row>
    <x:row r="605">
      <x:c r="A605" s="15" t="str">
        <x:v>SIM-0601</x:v>
      </x:c>
      <x:c r="B605" s="15" t="str">
        <x:v>2026-03</x:v>
      </x:c>
      <x:c r="C605" s="15" t="str">
        <x:v>Calzado</x:v>
      </x:c>
      <x:c r="D605" s="15" t="str">
        <x:v>Tienda</x:v>
      </x:c>
      <x:c r="E605" s="15" t="n">
        <x:v>1</x:v>
      </x:c>
      <x:c r="F605" s="15" t="n">
        <x:v>0</x:v>
      </x:c>
      <x:c r="G605" s="19" t="n">
        <x:v>90</x:v>
      </x:c>
      <x:c r="H605" s="19" t="n">
        <x:v>42</x:v>
      </x:c>
      <x:c r="I605" s="17" t="n">
        <x:v>0</x:v>
      </x:c>
      <x:c r="J605" s="19" t="n">
        <x:v>2</x:v>
      </x:c>
      <x:c r="K605" s="19" t="n">
        <x:f>E605*G605</x:f>
        <x:v>90</x:v>
      </x:c>
      <x:c r="L605" s="19" t="n">
        <x:f>K605*I605</x:f>
        <x:v>0</x:v>
      </x:c>
      <x:c r="M605" s="19" t="n">
        <x:f>(E605-F605)*G605*(1-I605)</x:f>
        <x:v>90</x:v>
      </x:c>
      <x:c r="N605" s="19" t="n">
        <x:f>(E605-F605)*H605</x:f>
        <x:v>42</x:v>
      </x:c>
      <x:c r="O605" s="19" t="n">
        <x:f>F605*J605</x:f>
        <x:v>0</x:v>
      </x:c>
      <x:c r="P605" s="19" t="n">
        <x:f>M605-N605-O605</x:f>
        <x:v>48</x:v>
      </x:c>
    </x:row>
    <x:row r="606">
      <x:c r="A606" s="15" t="str">
        <x:v>SIM-0602</x:v>
      </x:c>
      <x:c r="B606" s="15" t="str">
        <x:v>2026-03</x:v>
      </x:c>
      <x:c r="C606" s="15" t="str">
        <x:v>Accesorios</x:v>
      </x:c>
      <x:c r="D606" s="15" t="str">
        <x:v>Tienda</x:v>
      </x:c>
      <x:c r="E606" s="15" t="n">
        <x:v>2</x:v>
      </x:c>
      <x:c r="F606" s="15" t="n">
        <x:v>0</x:v>
      </x:c>
      <x:c r="G606" s="19" t="n">
        <x:v>30</x:v>
      </x:c>
      <x:c r="H606" s="19" t="n">
        <x:v>9</x:v>
      </x:c>
      <x:c r="I606" s="17" t="n">
        <x:v>0.3</x:v>
      </x:c>
      <x:c r="J606" s="19" t="n">
        <x:v>2</x:v>
      </x:c>
      <x:c r="K606" s="19" t="n">
        <x:f>E606*G606</x:f>
        <x:v>60</x:v>
      </x:c>
      <x:c r="L606" s="19" t="n">
        <x:f>K606*I606</x:f>
        <x:v>18</x:v>
      </x:c>
      <x:c r="M606" s="19" t="n">
        <x:f>(E606-F606)*G606*(1-I606)</x:f>
        <x:v>42</x:v>
      </x:c>
      <x:c r="N606" s="19" t="n">
        <x:f>(E606-F606)*H606</x:f>
        <x:v>18</x:v>
      </x:c>
      <x:c r="O606" s="19" t="n">
        <x:f>F606*J606</x:f>
        <x:v>0</x:v>
      </x:c>
      <x:c r="P606" s="19" t="n">
        <x:f>M606-N606-O606</x:f>
        <x:v>24</x:v>
      </x:c>
    </x:row>
    <x:row r="607">
      <x:c r="A607" s="15" t="str">
        <x:v>SIM-0603</x:v>
      </x:c>
      <x:c r="B607" s="15" t="str">
        <x:v>2026-03</x:v>
      </x:c>
      <x:c r="C607" s="15" t="str">
        <x:v>Accesorios</x:v>
      </x:c>
      <x:c r="D607" s="15" t="str">
        <x:v>Online</x:v>
      </x:c>
      <x:c r="E607" s="15" t="n">
        <x:v>2</x:v>
      </x:c>
      <x:c r="F607" s="15" t="n">
        <x:v>0</x:v>
      </x:c>
      <x:c r="G607" s="19" t="n">
        <x:v>30</x:v>
      </x:c>
      <x:c r="H607" s="19" t="n">
        <x:v>9</x:v>
      </x:c>
      <x:c r="I607" s="17" t="n">
        <x:v>0.2</x:v>
      </x:c>
      <x:c r="J607" s="19" t="n">
        <x:v>6</x:v>
      </x:c>
      <x:c r="K607" s="19" t="n">
        <x:f>E607*G607</x:f>
        <x:v>60</x:v>
      </x:c>
      <x:c r="L607" s="19" t="n">
        <x:f>K607*I607</x:f>
        <x:v>12</x:v>
      </x:c>
      <x:c r="M607" s="19" t="n">
        <x:f>(E607-F607)*G607*(1-I607)</x:f>
        <x:v>48</x:v>
      </x:c>
      <x:c r="N607" s="19" t="n">
        <x:f>(E607-F607)*H607</x:f>
        <x:v>18</x:v>
      </x:c>
      <x:c r="O607" s="19" t="n">
        <x:f>F607*J607</x:f>
        <x:v>0</x:v>
      </x:c>
      <x:c r="P607" s="19" t="n">
        <x:f>M607-N607-O607</x:f>
        <x:v>30</x:v>
      </x:c>
    </x:row>
    <x:row r="608">
      <x:c r="A608" s="15" t="str">
        <x:v>SIM-0604</x:v>
      </x:c>
      <x:c r="B608" s="15" t="str">
        <x:v>2026-03</x:v>
      </x:c>
      <x:c r="C608" s="15" t="str">
        <x:v>Accesorios</x:v>
      </x:c>
      <x:c r="D608" s="15" t="str">
        <x:v>Tienda</x:v>
      </x:c>
      <x:c r="E608" s="15" t="n">
        <x:v>2</x:v>
      </x:c>
      <x:c r="F608" s="15" t="n">
        <x:v>0</x:v>
      </x:c>
      <x:c r="G608" s="19" t="n">
        <x:v>30</x:v>
      </x:c>
      <x:c r="H608" s="19" t="n">
        <x:v>9</x:v>
      </x:c>
      <x:c r="I608" s="17" t="n">
        <x:v>0</x:v>
      </x:c>
      <x:c r="J608" s="19" t="n">
        <x:v>2</x:v>
      </x:c>
      <x:c r="K608" s="19" t="n">
        <x:f>E608*G608</x:f>
        <x:v>60</x:v>
      </x:c>
      <x:c r="L608" s="19" t="n">
        <x:f>K608*I608</x:f>
        <x:v>0</x:v>
      </x:c>
      <x:c r="M608" s="19" t="n">
        <x:f>(E608-F608)*G608*(1-I608)</x:f>
        <x:v>60</x:v>
      </x:c>
      <x:c r="N608" s="19" t="n">
        <x:f>(E608-F608)*H608</x:f>
        <x:v>18</x:v>
      </x:c>
      <x:c r="O608" s="19" t="n">
        <x:f>F608*J608</x:f>
        <x:v>0</x:v>
      </x:c>
      <x:c r="P608" s="19" t="n">
        <x:f>M608-N608-O608</x:f>
        <x:v>42</x:v>
      </x:c>
    </x:row>
    <x:row r="609">
      <x:c r="A609" s="15" t="str">
        <x:v>SIM-0605</x:v>
      </x:c>
      <x:c r="B609" s="15" t="str">
        <x:v>2026-03</x:v>
      </x:c>
      <x:c r="C609" s="15" t="str">
        <x:v>Prendas</x:v>
      </x:c>
      <x:c r="D609" s="15" t="str">
        <x:v>Online</x:v>
      </x:c>
      <x:c r="E609" s="15" t="n">
        <x:v>1</x:v>
      </x:c>
      <x:c r="F609" s="15" t="n">
        <x:v>0</x:v>
      </x:c>
      <x:c r="G609" s="19" t="n">
        <x:v>60</x:v>
      </x:c>
      <x:c r="H609" s="19" t="n">
        <x:v>24</x:v>
      </x:c>
      <x:c r="I609" s="17" t="n">
        <x:v>0.2</x:v>
      </x:c>
      <x:c r="J609" s="19" t="n">
        <x:v>6</x:v>
      </x:c>
      <x:c r="K609" s="19" t="n">
        <x:f>E609*G609</x:f>
        <x:v>60</x:v>
      </x:c>
      <x:c r="L609" s="19" t="n">
        <x:f>K609*I609</x:f>
        <x:v>12</x:v>
      </x:c>
      <x:c r="M609" s="19" t="n">
        <x:f>(E609-F609)*G609*(1-I609)</x:f>
        <x:v>48</x:v>
      </x:c>
      <x:c r="N609" s="19" t="n">
        <x:f>(E609-F609)*H609</x:f>
        <x:v>24</x:v>
      </x:c>
      <x:c r="O609" s="19" t="n">
        <x:f>F609*J609</x:f>
        <x:v>0</x:v>
      </x:c>
      <x:c r="P609" s="19" t="n">
        <x:f>M609-N609-O609</x:f>
        <x:v>24</x:v>
      </x:c>
    </x:row>
    <x:row r="610">
      <x:c r="A610" s="15" t="str">
        <x:v>SIM-0606</x:v>
      </x:c>
      <x:c r="B610" s="15" t="str">
        <x:v>2026-03</x:v>
      </x:c>
      <x:c r="C610" s="15" t="str">
        <x:v>Prendas</x:v>
      </x:c>
      <x:c r="D610" s="15" t="str">
        <x:v>Online</x:v>
      </x:c>
      <x:c r="E610" s="15" t="n">
        <x:v>1</x:v>
      </x:c>
      <x:c r="F610" s="15" t="n">
        <x:v>0</x:v>
      </x:c>
      <x:c r="G610" s="19" t="n">
        <x:v>60</x:v>
      </x:c>
      <x:c r="H610" s="19" t="n">
        <x:v>24</x:v>
      </x:c>
      <x:c r="I610" s="17" t="n">
        <x:v>0</x:v>
      </x:c>
      <x:c r="J610" s="19" t="n">
        <x:v>6</x:v>
      </x:c>
      <x:c r="K610" s="19" t="n">
        <x:f>E610*G610</x:f>
        <x:v>60</x:v>
      </x:c>
      <x:c r="L610" s="19" t="n">
        <x:f>K610*I610</x:f>
        <x:v>0</x:v>
      </x:c>
      <x:c r="M610" s="19" t="n">
        <x:f>(E610-F610)*G610*(1-I610)</x:f>
        <x:v>60</x:v>
      </x:c>
      <x:c r="N610" s="19" t="n">
        <x:f>(E610-F610)*H610</x:f>
        <x:v>24</x:v>
      </x:c>
      <x:c r="O610" s="19" t="n">
        <x:f>F610*J610</x:f>
        <x:v>0</x:v>
      </x:c>
      <x:c r="P610" s="19" t="n">
        <x:f>M610-N610-O610</x:f>
        <x:v>36</x:v>
      </x:c>
    </x:row>
    <x:row r="611">
      <x:c r="A611" s="15" t="str">
        <x:v>SIM-0607</x:v>
      </x:c>
      <x:c r="B611" s="15" t="str">
        <x:v>2026-03</x:v>
      </x:c>
      <x:c r="C611" s="15" t="str">
        <x:v>Accesorios</x:v>
      </x:c>
      <x:c r="D611" s="15" t="str">
        <x:v>Online</x:v>
      </x:c>
      <x:c r="E611" s="15" t="n">
        <x:v>1</x:v>
      </x:c>
      <x:c r="F611" s="15" t="n">
        <x:v>0</x:v>
      </x:c>
      <x:c r="G611" s="19" t="n">
        <x:v>30</x:v>
      </x:c>
      <x:c r="H611" s="19" t="n">
        <x:v>9</x:v>
      </x:c>
      <x:c r="I611" s="17" t="n">
        <x:v>0</x:v>
      </x:c>
      <x:c r="J611" s="19" t="n">
        <x:v>6</x:v>
      </x:c>
      <x:c r="K611" s="19" t="n">
        <x:f>E611*G611</x:f>
        <x:v>30</x:v>
      </x:c>
      <x:c r="L611" s="19" t="n">
        <x:f>K611*I611</x:f>
        <x:v>0</x:v>
      </x:c>
      <x:c r="M611" s="19" t="n">
        <x:f>(E611-F611)*G611*(1-I611)</x:f>
        <x:v>30</x:v>
      </x:c>
      <x:c r="N611" s="19" t="n">
        <x:f>(E611-F611)*H611</x:f>
        <x:v>9</x:v>
      </x:c>
      <x:c r="O611" s="19" t="n">
        <x:f>F611*J611</x:f>
        <x:v>0</x:v>
      </x:c>
      <x:c r="P611" s="19" t="n">
        <x:f>M611-N611-O611</x:f>
        <x:v>21</x:v>
      </x:c>
    </x:row>
    <x:row r="612">
      <x:c r="A612" s="15" t="str">
        <x:v>SIM-0608</x:v>
      </x:c>
      <x:c r="B612" s="15" t="str">
        <x:v>2026-03</x:v>
      </x:c>
      <x:c r="C612" s="15" t="str">
        <x:v>Calzado</x:v>
      </x:c>
      <x:c r="D612" s="15" t="str">
        <x:v>Tienda</x:v>
      </x:c>
      <x:c r="E612" s="15" t="n">
        <x:v>2</x:v>
      </x:c>
      <x:c r="F612" s="15" t="n">
        <x:v>0</x:v>
      </x:c>
      <x:c r="G612" s="19" t="n">
        <x:v>90</x:v>
      </x:c>
      <x:c r="H612" s="19" t="n">
        <x:v>42</x:v>
      </x:c>
      <x:c r="I612" s="17" t="n">
        <x:v>0.3</x:v>
      </x:c>
      <x:c r="J612" s="19" t="n">
        <x:v>2</x:v>
      </x:c>
      <x:c r="K612" s="19" t="n">
        <x:f>E612*G612</x:f>
        <x:v>180</x:v>
      </x:c>
      <x:c r="L612" s="19" t="n">
        <x:f>K612*I612</x:f>
        <x:v>54</x:v>
      </x:c>
      <x:c r="M612" s="19" t="n">
        <x:f>(E612-F612)*G612*(1-I612)</x:f>
        <x:v>125.99999999999999</x:v>
      </x:c>
      <x:c r="N612" s="19" t="n">
        <x:f>(E612-F612)*H612</x:f>
        <x:v>84</x:v>
      </x:c>
      <x:c r="O612" s="19" t="n">
        <x:f>F612*J612</x:f>
        <x:v>0</x:v>
      </x:c>
      <x:c r="P612" s="19" t="n">
        <x:f>M612-N612-O612</x:f>
        <x:v>41.999999999999986</x:v>
      </x:c>
    </x:row>
    <x:row r="613">
      <x:c r="A613" s="15" t="str">
        <x:v>SIM-0609</x:v>
      </x:c>
      <x:c r="B613" s="15" t="str">
        <x:v>2026-03</x:v>
      </x:c>
      <x:c r="C613" s="15" t="str">
        <x:v>Prendas</x:v>
      </x:c>
      <x:c r="D613" s="15" t="str">
        <x:v>Tienda</x:v>
      </x:c>
      <x:c r="E613" s="15" t="n">
        <x:v>1</x:v>
      </x:c>
      <x:c r="F613" s="15" t="n">
        <x:v>0</x:v>
      </x:c>
      <x:c r="G613" s="19" t="n">
        <x:v>60</x:v>
      </x:c>
      <x:c r="H613" s="19" t="n">
        <x:v>24</x:v>
      </x:c>
      <x:c r="I613" s="17" t="n">
        <x:v>0.3</x:v>
      </x:c>
      <x:c r="J613" s="19" t="n">
        <x:v>2</x:v>
      </x:c>
      <x:c r="K613" s="19" t="n">
        <x:f>E613*G613</x:f>
        <x:v>60</x:v>
      </x:c>
      <x:c r="L613" s="19" t="n">
        <x:f>K613*I613</x:f>
        <x:v>18</x:v>
      </x:c>
      <x:c r="M613" s="19" t="n">
        <x:f>(E613-F613)*G613*(1-I613)</x:f>
        <x:v>42</x:v>
      </x:c>
      <x:c r="N613" s="19" t="n">
        <x:f>(E613-F613)*H613</x:f>
        <x:v>24</x:v>
      </x:c>
      <x:c r="O613" s="19" t="n">
        <x:f>F613*J613</x:f>
        <x:v>0</x:v>
      </x:c>
      <x:c r="P613" s="19" t="n">
        <x:f>M613-N613-O613</x:f>
        <x:v>18</x:v>
      </x:c>
    </x:row>
    <x:row r="614">
      <x:c r="A614" s="15" t="str">
        <x:v>SIM-0610</x:v>
      </x:c>
      <x:c r="B614" s="15" t="str">
        <x:v>2026-03</x:v>
      </x:c>
      <x:c r="C614" s="15" t="str">
        <x:v>Prendas</x:v>
      </x:c>
      <x:c r="D614" s="15" t="str">
        <x:v>Online</x:v>
      </x:c>
      <x:c r="E614" s="15" t="n">
        <x:v>1</x:v>
      </x:c>
      <x:c r="F614" s="15" t="n">
        <x:v>1</x:v>
      </x:c>
      <x:c r="G614" s="19" t="n">
        <x:v>60</x:v>
      </x:c>
      <x:c r="H614" s="19" t="n">
        <x:v>24</x:v>
      </x:c>
      <x:c r="I614" s="17" t="n">
        <x:v>0</x:v>
      </x:c>
      <x:c r="J614" s="19" t="n">
        <x:v>6</x:v>
      </x:c>
      <x:c r="K614" s="19" t="n">
        <x:f>E614*G614</x:f>
        <x:v>60</x:v>
      </x:c>
      <x:c r="L614" s="19" t="n">
        <x:f>K614*I614</x:f>
        <x:v>0</x:v>
      </x:c>
      <x:c r="M614" s="19" t="n">
        <x:f>(E614-F614)*G614*(1-I614)</x:f>
        <x:v>0</x:v>
      </x:c>
      <x:c r="N614" s="19" t="n">
        <x:f>(E614-F614)*H614</x:f>
        <x:v>0</x:v>
      </x:c>
      <x:c r="O614" s="19" t="n">
        <x:f>F614*J614</x:f>
        <x:v>6</x:v>
      </x:c>
      <x:c r="P614" s="19" t="n">
        <x:f>M614-N614-O614</x:f>
        <x:v>-6</x:v>
      </x:c>
    </x:row>
    <x:row r="615">
      <x:c r="A615" s="15" t="str">
        <x:v>SIM-0611</x:v>
      </x:c>
      <x:c r="B615" s="15" t="str">
        <x:v>2026-03</x:v>
      </x:c>
      <x:c r="C615" s="15" t="str">
        <x:v>Prendas</x:v>
      </x:c>
      <x:c r="D615" s="15" t="str">
        <x:v>Tienda</x:v>
      </x:c>
      <x:c r="E615" s="15" t="n">
        <x:v>1</x:v>
      </x:c>
      <x:c r="F615" s="15" t="n">
        <x:v>0</x:v>
      </x:c>
      <x:c r="G615" s="19" t="n">
        <x:v>60</x:v>
      </x:c>
      <x:c r="H615" s="19" t="n">
        <x:v>24</x:v>
      </x:c>
      <x:c r="I615" s="17" t="n">
        <x:v>0.1</x:v>
      </x:c>
      <x:c r="J615" s="19" t="n">
        <x:v>2</x:v>
      </x:c>
      <x:c r="K615" s="19" t="n">
        <x:f>E615*G615</x:f>
        <x:v>60</x:v>
      </x:c>
      <x:c r="L615" s="19" t="n">
        <x:f>K615*I615</x:f>
        <x:v>6</x:v>
      </x:c>
      <x:c r="M615" s="19" t="n">
        <x:f>(E615-F615)*G615*(1-I615)</x:f>
        <x:v>54</x:v>
      </x:c>
      <x:c r="N615" s="19" t="n">
        <x:f>(E615-F615)*H615</x:f>
        <x:v>24</x:v>
      </x:c>
      <x:c r="O615" s="19" t="n">
        <x:f>F615*J615</x:f>
        <x:v>0</x:v>
      </x:c>
      <x:c r="P615" s="19" t="n">
        <x:f>M615-N615-O615</x:f>
        <x:v>30</x:v>
      </x:c>
    </x:row>
    <x:row r="616">
      <x:c r="A616" s="15" t="str">
        <x:v>SIM-0612</x:v>
      </x:c>
      <x:c r="B616" s="15" t="str">
        <x:v>2026-03</x:v>
      </x:c>
      <x:c r="C616" s="15" t="str">
        <x:v>Calzado</x:v>
      </x:c>
      <x:c r="D616" s="15" t="str">
        <x:v>Tienda</x:v>
      </x:c>
      <x:c r="E616" s="15" t="n">
        <x:v>1</x:v>
      </x:c>
      <x:c r="F616" s="15" t="n">
        <x:v>0</x:v>
      </x:c>
      <x:c r="G616" s="19" t="n">
        <x:v>90</x:v>
      </x:c>
      <x:c r="H616" s="19" t="n">
        <x:v>42</x:v>
      </x:c>
      <x:c r="I616" s="17" t="n">
        <x:v>0.1</x:v>
      </x:c>
      <x:c r="J616" s="19" t="n">
        <x:v>2</x:v>
      </x:c>
      <x:c r="K616" s="19" t="n">
        <x:f>E616*G616</x:f>
        <x:v>90</x:v>
      </x:c>
      <x:c r="L616" s="19" t="n">
        <x:f>K616*I616</x:f>
        <x:v>9</x:v>
      </x:c>
      <x:c r="M616" s="19" t="n">
        <x:f>(E616-F616)*G616*(1-I616)</x:f>
        <x:v>81</x:v>
      </x:c>
      <x:c r="N616" s="19" t="n">
        <x:f>(E616-F616)*H616</x:f>
        <x:v>42</x:v>
      </x:c>
      <x:c r="O616" s="19" t="n">
        <x:f>F616*J616</x:f>
        <x:v>0</x:v>
      </x:c>
      <x:c r="P616" s="19" t="n">
        <x:f>M616-N616-O616</x:f>
        <x:v>39</x:v>
      </x:c>
    </x:row>
    <x:row r="617">
      <x:c r="A617" s="15" t="str">
        <x:v>SIM-0613</x:v>
      </x:c>
      <x:c r="B617" s="15" t="str">
        <x:v>2026-03</x:v>
      </x:c>
      <x:c r="C617" s="15" t="str">
        <x:v>Accesorios</x:v>
      </x:c>
      <x:c r="D617" s="15" t="str">
        <x:v>Tienda</x:v>
      </x:c>
      <x:c r="E617" s="15" t="n">
        <x:v>2</x:v>
      </x:c>
      <x:c r="F617" s="15" t="n">
        <x:v>1</x:v>
      </x:c>
      <x:c r="G617" s="19" t="n">
        <x:v>30</x:v>
      </x:c>
      <x:c r="H617" s="19" t="n">
        <x:v>9</x:v>
      </x:c>
      <x:c r="I617" s="17" t="n">
        <x:v>0.1</x:v>
      </x:c>
      <x:c r="J617" s="19" t="n">
        <x:v>2</x:v>
      </x:c>
      <x:c r="K617" s="19" t="n">
        <x:f>E617*G617</x:f>
        <x:v>60</x:v>
      </x:c>
      <x:c r="L617" s="19" t="n">
        <x:f>K617*I617</x:f>
        <x:v>6</x:v>
      </x:c>
      <x:c r="M617" s="19" t="n">
        <x:f>(E617-F617)*G617*(1-I617)</x:f>
        <x:v>27</x:v>
      </x:c>
      <x:c r="N617" s="19" t="n">
        <x:f>(E617-F617)*H617</x:f>
        <x:v>9</x:v>
      </x:c>
      <x:c r="O617" s="19" t="n">
        <x:f>F617*J617</x:f>
        <x:v>2</x:v>
      </x:c>
      <x:c r="P617" s="19" t="n">
        <x:f>M617-N617-O617</x:f>
        <x:v>16</x:v>
      </x:c>
    </x:row>
    <x:row r="618">
      <x:c r="A618" s="15" t="str">
        <x:v>SIM-0614</x:v>
      </x:c>
      <x:c r="B618" s="15" t="str">
        <x:v>2026-03</x:v>
      </x:c>
      <x:c r="C618" s="15" t="str">
        <x:v>Calzado</x:v>
      </x:c>
      <x:c r="D618" s="15" t="str">
        <x:v>Tienda</x:v>
      </x:c>
      <x:c r="E618" s="15" t="n">
        <x:v>1</x:v>
      </x:c>
      <x:c r="F618" s="15" t="n">
        <x:v>0</x:v>
      </x:c>
      <x:c r="G618" s="19" t="n">
        <x:v>90</x:v>
      </x:c>
      <x:c r="H618" s="19" t="n">
        <x:v>42</x:v>
      </x:c>
      <x:c r="I618" s="17" t="n">
        <x:v>0.3</x:v>
      </x:c>
      <x:c r="J618" s="19" t="n">
        <x:v>2</x:v>
      </x:c>
      <x:c r="K618" s="19" t="n">
        <x:f>E618*G618</x:f>
        <x:v>90</x:v>
      </x:c>
      <x:c r="L618" s="19" t="n">
        <x:f>K618*I618</x:f>
        <x:v>27</x:v>
      </x:c>
      <x:c r="M618" s="19" t="n">
        <x:f>(E618-F618)*G618*(1-I618)</x:f>
        <x:v>62.99999999999999</x:v>
      </x:c>
      <x:c r="N618" s="19" t="n">
        <x:f>(E618-F618)*H618</x:f>
        <x:v>42</x:v>
      </x:c>
      <x:c r="O618" s="19" t="n">
        <x:f>F618*J618</x:f>
        <x:v>0</x:v>
      </x:c>
      <x:c r="P618" s="19" t="n">
        <x:f>M618-N618-O618</x:f>
        <x:v>20.999999999999993</x:v>
      </x:c>
    </x:row>
    <x:row r="619">
      <x:c r="A619" s="15" t="str">
        <x:v>SIM-0615</x:v>
      </x:c>
      <x:c r="B619" s="15" t="str">
        <x:v>2026-03</x:v>
      </x:c>
      <x:c r="C619" s="15" t="str">
        <x:v>Accesorios</x:v>
      </x:c>
      <x:c r="D619" s="15" t="str">
        <x:v>Tienda</x:v>
      </x:c>
      <x:c r="E619" s="15" t="n">
        <x:v>1</x:v>
      </x:c>
      <x:c r="F619" s="15" t="n">
        <x:v>0</x:v>
      </x:c>
      <x:c r="G619" s="19" t="n">
        <x:v>30</x:v>
      </x:c>
      <x:c r="H619" s="19" t="n">
        <x:v>9</x:v>
      </x:c>
      <x:c r="I619" s="17" t="n">
        <x:v>0</x:v>
      </x:c>
      <x:c r="J619" s="19" t="n">
        <x:v>2</x:v>
      </x:c>
      <x:c r="K619" s="19" t="n">
        <x:f>E619*G619</x:f>
        <x:v>30</x:v>
      </x:c>
      <x:c r="L619" s="19" t="n">
        <x:f>K619*I619</x:f>
        <x:v>0</x:v>
      </x:c>
      <x:c r="M619" s="19" t="n">
        <x:f>(E619-F619)*G619*(1-I619)</x:f>
        <x:v>30</x:v>
      </x:c>
      <x:c r="N619" s="19" t="n">
        <x:f>(E619-F619)*H619</x:f>
        <x:v>9</x:v>
      </x:c>
      <x:c r="O619" s="19" t="n">
        <x:f>F619*J619</x:f>
        <x:v>0</x:v>
      </x:c>
      <x:c r="P619" s="19" t="n">
        <x:f>M619-N619-O619</x:f>
        <x:v>21</x:v>
      </x:c>
    </x:row>
    <x:row r="620">
      <x:c r="A620" s="15" t="str">
        <x:v>SIM-0616</x:v>
      </x:c>
      <x:c r="B620" s="15" t="str">
        <x:v>2026-03</x:v>
      </x:c>
      <x:c r="C620" s="15" t="str">
        <x:v>Prendas</x:v>
      </x:c>
      <x:c r="D620" s="15" t="str">
        <x:v>Tienda</x:v>
      </x:c>
      <x:c r="E620" s="15" t="n">
        <x:v>1</x:v>
      </x:c>
      <x:c r="F620" s="15" t="n">
        <x:v>0</x:v>
      </x:c>
      <x:c r="G620" s="19" t="n">
        <x:v>60</x:v>
      </x:c>
      <x:c r="H620" s="19" t="n">
        <x:v>24</x:v>
      </x:c>
      <x:c r="I620" s="17" t="n">
        <x:v>0.3</x:v>
      </x:c>
      <x:c r="J620" s="19" t="n">
        <x:v>2</x:v>
      </x:c>
      <x:c r="K620" s="19" t="n">
        <x:f>E620*G620</x:f>
        <x:v>60</x:v>
      </x:c>
      <x:c r="L620" s="19" t="n">
        <x:f>K620*I620</x:f>
        <x:v>18</x:v>
      </x:c>
      <x:c r="M620" s="19" t="n">
        <x:f>(E620-F620)*G620*(1-I620)</x:f>
        <x:v>42</x:v>
      </x:c>
      <x:c r="N620" s="19" t="n">
        <x:f>(E620-F620)*H620</x:f>
        <x:v>24</x:v>
      </x:c>
      <x:c r="O620" s="19" t="n">
        <x:f>F620*J620</x:f>
        <x:v>0</x:v>
      </x:c>
      <x:c r="P620" s="19" t="n">
        <x:f>M620-N620-O620</x:f>
        <x:v>18</x:v>
      </x:c>
    </x:row>
    <x:row r="621">
      <x:c r="A621" s="15" t="str">
        <x:v>SIM-0617</x:v>
      </x:c>
      <x:c r="B621" s="15" t="str">
        <x:v>2026-03</x:v>
      </x:c>
      <x:c r="C621" s="15" t="str">
        <x:v>Prendas</x:v>
      </x:c>
      <x:c r="D621" s="15" t="str">
        <x:v>Tienda</x:v>
      </x:c>
      <x:c r="E621" s="15" t="n">
        <x:v>1</x:v>
      </x:c>
      <x:c r="F621" s="15" t="n">
        <x:v>0</x:v>
      </x:c>
      <x:c r="G621" s="19" t="n">
        <x:v>60</x:v>
      </x:c>
      <x:c r="H621" s="19" t="n">
        <x:v>24</x:v>
      </x:c>
      <x:c r="I621" s="17" t="n">
        <x:v>0</x:v>
      </x:c>
      <x:c r="J621" s="19" t="n">
        <x:v>2</x:v>
      </x:c>
      <x:c r="K621" s="19" t="n">
        <x:f>E621*G621</x:f>
        <x:v>60</x:v>
      </x:c>
      <x:c r="L621" s="19" t="n">
        <x:f>K621*I621</x:f>
        <x:v>0</x:v>
      </x:c>
      <x:c r="M621" s="19" t="n">
        <x:f>(E621-F621)*G621*(1-I621)</x:f>
        <x:v>60</x:v>
      </x:c>
      <x:c r="N621" s="19" t="n">
        <x:f>(E621-F621)*H621</x:f>
        <x:v>24</x:v>
      </x:c>
      <x:c r="O621" s="19" t="n">
        <x:f>F621*J621</x:f>
        <x:v>0</x:v>
      </x:c>
      <x:c r="P621" s="19" t="n">
        <x:f>M621-N621-O621</x:f>
        <x:v>36</x:v>
      </x:c>
    </x:row>
    <x:row r="622">
      <x:c r="A622" s="15" t="str">
        <x:v>SIM-0618</x:v>
      </x:c>
      <x:c r="B622" s="15" t="str">
        <x:v>2026-03</x:v>
      </x:c>
      <x:c r="C622" s="15" t="str">
        <x:v>Prendas</x:v>
      </x:c>
      <x:c r="D622" s="15" t="str">
        <x:v>Online</x:v>
      </x:c>
      <x:c r="E622" s="15" t="n">
        <x:v>2</x:v>
      </x:c>
      <x:c r="F622" s="15" t="n">
        <x:v>0</x:v>
      </x:c>
      <x:c r="G622" s="19" t="n">
        <x:v>60</x:v>
      </x:c>
      <x:c r="H622" s="19" t="n">
        <x:v>24</x:v>
      </x:c>
      <x:c r="I622" s="17" t="n">
        <x:v>0.3</x:v>
      </x:c>
      <x:c r="J622" s="19" t="n">
        <x:v>6</x:v>
      </x:c>
      <x:c r="K622" s="19" t="n">
        <x:f>E622*G622</x:f>
        <x:v>120</x:v>
      </x:c>
      <x:c r="L622" s="19" t="n">
        <x:f>K622*I622</x:f>
        <x:v>36</x:v>
      </x:c>
      <x:c r="M622" s="19" t="n">
        <x:f>(E622-F622)*G622*(1-I622)</x:f>
        <x:v>84</x:v>
      </x:c>
      <x:c r="N622" s="19" t="n">
        <x:f>(E622-F622)*H622</x:f>
        <x:v>48</x:v>
      </x:c>
      <x:c r="O622" s="19" t="n">
        <x:f>F622*J622</x:f>
        <x:v>0</x:v>
      </x:c>
      <x:c r="P622" s="19" t="n">
        <x:f>M622-N622-O622</x:f>
        <x:v>36</x:v>
      </x:c>
    </x:row>
    <x:row r="623">
      <x:c r="A623" s="15" t="str">
        <x:v>SIM-0619</x:v>
      </x:c>
      <x:c r="B623" s="15" t="str">
        <x:v>2026-03</x:v>
      </x:c>
      <x:c r="C623" s="15" t="str">
        <x:v>Calzado</x:v>
      </x:c>
      <x:c r="D623" s="15" t="str">
        <x:v>Tienda</x:v>
      </x:c>
      <x:c r="E623" s="15" t="n">
        <x:v>1</x:v>
      </x:c>
      <x:c r="F623" s="15" t="n">
        <x:v>0</x:v>
      </x:c>
      <x:c r="G623" s="19" t="n">
        <x:v>90</x:v>
      </x:c>
      <x:c r="H623" s="19" t="n">
        <x:v>42</x:v>
      </x:c>
      <x:c r="I623" s="17" t="n">
        <x:v>0</x:v>
      </x:c>
      <x:c r="J623" s="19" t="n">
        <x:v>2</x:v>
      </x:c>
      <x:c r="K623" s="19" t="n">
        <x:f>E623*G623</x:f>
        <x:v>90</x:v>
      </x:c>
      <x:c r="L623" s="19" t="n">
        <x:f>K623*I623</x:f>
        <x:v>0</x:v>
      </x:c>
      <x:c r="M623" s="19" t="n">
        <x:f>(E623-F623)*G623*(1-I623)</x:f>
        <x:v>90</x:v>
      </x:c>
      <x:c r="N623" s="19" t="n">
        <x:f>(E623-F623)*H623</x:f>
        <x:v>42</x:v>
      </x:c>
      <x:c r="O623" s="19" t="n">
        <x:f>F623*J623</x:f>
        <x:v>0</x:v>
      </x:c>
      <x:c r="P623" s="19" t="n">
        <x:f>M623-N623-O623</x:f>
        <x:v>48</x:v>
      </x:c>
    </x:row>
    <x:row r="624">
      <x:c r="A624" s="15" t="str">
        <x:v>SIM-0620</x:v>
      </x:c>
      <x:c r="B624" s="15" t="str">
        <x:v>2026-03</x:v>
      </x:c>
      <x:c r="C624" s="15" t="str">
        <x:v>Prendas</x:v>
      </x:c>
      <x:c r="D624" s="15" t="str">
        <x:v>Tienda</x:v>
      </x:c>
      <x:c r="E624" s="15" t="n">
        <x:v>2</x:v>
      </x:c>
      <x:c r="F624" s="15" t="n">
        <x:v>0</x:v>
      </x:c>
      <x:c r="G624" s="19" t="n">
        <x:v>60</x:v>
      </x:c>
      <x:c r="H624" s="19" t="n">
        <x:v>24</x:v>
      </x:c>
      <x:c r="I624" s="17" t="n">
        <x:v>0</x:v>
      </x:c>
      <x:c r="J624" s="19" t="n">
        <x:v>2</x:v>
      </x:c>
      <x:c r="K624" s="19" t="n">
        <x:f>E624*G624</x:f>
        <x:v>120</x:v>
      </x:c>
      <x:c r="L624" s="19" t="n">
        <x:f>K624*I624</x:f>
        <x:v>0</x:v>
      </x:c>
      <x:c r="M624" s="19" t="n">
        <x:f>(E624-F624)*G624*(1-I624)</x:f>
        <x:v>120</x:v>
      </x:c>
      <x:c r="N624" s="19" t="n">
        <x:f>(E624-F624)*H624</x:f>
        <x:v>48</x:v>
      </x:c>
      <x:c r="O624" s="19" t="n">
        <x:f>F624*J624</x:f>
        <x:v>0</x:v>
      </x:c>
      <x:c r="P624" s="19" t="n">
        <x:f>M624-N624-O624</x:f>
        <x:v>72</x:v>
      </x:c>
    </x:row>
    <x:row r="625">
      <x:c r="A625" s="15" t="str">
        <x:v>SIM-0621</x:v>
      </x:c>
      <x:c r="B625" s="15" t="str">
        <x:v>2026-03</x:v>
      </x:c>
      <x:c r="C625" s="15" t="str">
        <x:v>Prendas</x:v>
      </x:c>
      <x:c r="D625" s="15" t="str">
        <x:v>Online</x:v>
      </x:c>
      <x:c r="E625" s="15" t="n">
        <x:v>1</x:v>
      </x:c>
      <x:c r="F625" s="15" t="n">
        <x:v>0</x:v>
      </x:c>
      <x:c r="G625" s="19" t="n">
        <x:v>60</x:v>
      </x:c>
      <x:c r="H625" s="19" t="n">
        <x:v>24</x:v>
      </x:c>
      <x:c r="I625" s="17" t="n">
        <x:v>0.1</x:v>
      </x:c>
      <x:c r="J625" s="19" t="n">
        <x:v>6</x:v>
      </x:c>
      <x:c r="K625" s="19" t="n">
        <x:f>E625*G625</x:f>
        <x:v>60</x:v>
      </x:c>
      <x:c r="L625" s="19" t="n">
        <x:f>K625*I625</x:f>
        <x:v>6</x:v>
      </x:c>
      <x:c r="M625" s="19" t="n">
        <x:f>(E625-F625)*G625*(1-I625)</x:f>
        <x:v>54</x:v>
      </x:c>
      <x:c r="N625" s="19" t="n">
        <x:f>(E625-F625)*H625</x:f>
        <x:v>24</x:v>
      </x:c>
      <x:c r="O625" s="19" t="n">
        <x:f>F625*J625</x:f>
        <x:v>0</x:v>
      </x:c>
      <x:c r="P625" s="19" t="n">
        <x:f>M625-N625-O625</x:f>
        <x:v>30</x:v>
      </x:c>
    </x:row>
    <x:row r="626">
      <x:c r="A626" s="15" t="str">
        <x:v>SIM-0622</x:v>
      </x:c>
      <x:c r="B626" s="15" t="str">
        <x:v>2026-03</x:v>
      </x:c>
      <x:c r="C626" s="15" t="str">
        <x:v>Calzado</x:v>
      </x:c>
      <x:c r="D626" s="15" t="str">
        <x:v>Online</x:v>
      </x:c>
      <x:c r="E626" s="15" t="n">
        <x:v>2</x:v>
      </x:c>
      <x:c r="F626" s="15" t="n">
        <x:v>2</x:v>
      </x:c>
      <x:c r="G626" s="19" t="n">
        <x:v>90</x:v>
      </x:c>
      <x:c r="H626" s="19" t="n">
        <x:v>42</x:v>
      </x:c>
      <x:c r="I626" s="17" t="n">
        <x:v>0</x:v>
      </x:c>
      <x:c r="J626" s="19" t="n">
        <x:v>6</x:v>
      </x:c>
      <x:c r="K626" s="19" t="n">
        <x:f>E626*G626</x:f>
        <x:v>180</x:v>
      </x:c>
      <x:c r="L626" s="19" t="n">
        <x:f>K626*I626</x:f>
        <x:v>0</x:v>
      </x:c>
      <x:c r="M626" s="19" t="n">
        <x:f>(E626-F626)*G626*(1-I626)</x:f>
        <x:v>0</x:v>
      </x:c>
      <x:c r="N626" s="19" t="n">
        <x:f>(E626-F626)*H626</x:f>
        <x:v>0</x:v>
      </x:c>
      <x:c r="O626" s="19" t="n">
        <x:f>F626*J626</x:f>
        <x:v>12</x:v>
      </x:c>
      <x:c r="P626" s="19" t="n">
        <x:f>M626-N626-O626</x:f>
        <x:v>-12</x:v>
      </x:c>
    </x:row>
    <x:row r="627">
      <x:c r="A627" s="15" t="str">
        <x:v>SIM-0623</x:v>
      </x:c>
      <x:c r="B627" s="15" t="str">
        <x:v>2026-03</x:v>
      </x:c>
      <x:c r="C627" s="15" t="str">
        <x:v>Accesorios</x:v>
      </x:c>
      <x:c r="D627" s="15" t="str">
        <x:v>Online</x:v>
      </x:c>
      <x:c r="E627" s="15" t="n">
        <x:v>1</x:v>
      </x:c>
      <x:c r="F627" s="15" t="n">
        <x:v>0</x:v>
      </x:c>
      <x:c r="G627" s="19" t="n">
        <x:v>30</x:v>
      </x:c>
      <x:c r="H627" s="19" t="n">
        <x:v>9</x:v>
      </x:c>
      <x:c r="I627" s="17" t="n">
        <x:v>0.2</x:v>
      </x:c>
      <x:c r="J627" s="19" t="n">
        <x:v>6</x:v>
      </x:c>
      <x:c r="K627" s="19" t="n">
        <x:f>E627*G627</x:f>
        <x:v>30</x:v>
      </x:c>
      <x:c r="L627" s="19" t="n">
        <x:f>K627*I627</x:f>
        <x:v>6</x:v>
      </x:c>
      <x:c r="M627" s="19" t="n">
        <x:f>(E627-F627)*G627*(1-I627)</x:f>
        <x:v>24</x:v>
      </x:c>
      <x:c r="N627" s="19" t="n">
        <x:f>(E627-F627)*H627</x:f>
        <x:v>9</x:v>
      </x:c>
      <x:c r="O627" s="19" t="n">
        <x:f>F627*J627</x:f>
        <x:v>0</x:v>
      </x:c>
      <x:c r="P627" s="19" t="n">
        <x:f>M627-N627-O627</x:f>
        <x:v>15</x:v>
      </x:c>
    </x:row>
    <x:row r="628">
      <x:c r="A628" s="15" t="str">
        <x:v>SIM-0624</x:v>
      </x:c>
      <x:c r="B628" s="15" t="str">
        <x:v>2026-03</x:v>
      </x:c>
      <x:c r="C628" s="15" t="str">
        <x:v>Prendas</x:v>
      </x:c>
      <x:c r="D628" s="15" t="str">
        <x:v>Online</x:v>
      </x:c>
      <x:c r="E628" s="15" t="n">
        <x:v>1</x:v>
      </x:c>
      <x:c r="F628" s="15" t="n">
        <x:v>0</x:v>
      </x:c>
      <x:c r="G628" s="19" t="n">
        <x:v>60</x:v>
      </x:c>
      <x:c r="H628" s="19" t="n">
        <x:v>24</x:v>
      </x:c>
      <x:c r="I628" s="17" t="n">
        <x:v>0.1</x:v>
      </x:c>
      <x:c r="J628" s="19" t="n">
        <x:v>6</x:v>
      </x:c>
      <x:c r="K628" s="19" t="n">
        <x:f>E628*G628</x:f>
        <x:v>60</x:v>
      </x:c>
      <x:c r="L628" s="19" t="n">
        <x:f>K628*I628</x:f>
        <x:v>6</x:v>
      </x:c>
      <x:c r="M628" s="19" t="n">
        <x:f>(E628-F628)*G628*(1-I628)</x:f>
        <x:v>54</x:v>
      </x:c>
      <x:c r="N628" s="19" t="n">
        <x:f>(E628-F628)*H628</x:f>
        <x:v>24</x:v>
      </x:c>
      <x:c r="O628" s="19" t="n">
        <x:f>F628*J628</x:f>
        <x:v>0</x:v>
      </x:c>
      <x:c r="P628" s="19" t="n">
        <x:f>M628-N628-O628</x:f>
        <x:v>30</x:v>
      </x:c>
    </x:row>
    <x:row r="629">
      <x:c r="A629" s="15" t="str">
        <x:v>SIM-0625</x:v>
      </x:c>
      <x:c r="B629" s="15" t="str">
        <x:v>2026-03</x:v>
      </x:c>
      <x:c r="C629" s="15" t="str">
        <x:v>Prendas</x:v>
      </x:c>
      <x:c r="D629" s="15" t="str">
        <x:v>Tienda</x:v>
      </x:c>
      <x:c r="E629" s="15" t="n">
        <x:v>1</x:v>
      </x:c>
      <x:c r="F629" s="15" t="n">
        <x:v>0</x:v>
      </x:c>
      <x:c r="G629" s="19" t="n">
        <x:v>60</x:v>
      </x:c>
      <x:c r="H629" s="19" t="n">
        <x:v>24</x:v>
      </x:c>
      <x:c r="I629" s="17" t="n">
        <x:v>0</x:v>
      </x:c>
      <x:c r="J629" s="19" t="n">
        <x:v>2</x:v>
      </x:c>
      <x:c r="K629" s="19" t="n">
        <x:f>E629*G629</x:f>
        <x:v>60</x:v>
      </x:c>
      <x:c r="L629" s="19" t="n">
        <x:f>K629*I629</x:f>
        <x:v>0</x:v>
      </x:c>
      <x:c r="M629" s="19" t="n">
        <x:f>(E629-F629)*G629*(1-I629)</x:f>
        <x:v>60</x:v>
      </x:c>
      <x:c r="N629" s="19" t="n">
        <x:f>(E629-F629)*H629</x:f>
        <x:v>24</x:v>
      </x:c>
      <x:c r="O629" s="19" t="n">
        <x:f>F629*J629</x:f>
        <x:v>0</x:v>
      </x:c>
      <x:c r="P629" s="19" t="n">
        <x:f>M629-N629-O629</x:f>
        <x:v>36</x:v>
      </x:c>
    </x:row>
    <x:row r="630">
      <x:c r="A630" s="15" t="str">
        <x:v>SIM-0626</x:v>
      </x:c>
      <x:c r="B630" s="15" t="str">
        <x:v>2026-03</x:v>
      </x:c>
      <x:c r="C630" s="15" t="str">
        <x:v>Prendas</x:v>
      </x:c>
      <x:c r="D630" s="15" t="str">
        <x:v>Tienda</x:v>
      </x:c>
      <x:c r="E630" s="15" t="n">
        <x:v>1</x:v>
      </x:c>
      <x:c r="F630" s="15" t="n">
        <x:v>0</x:v>
      </x:c>
      <x:c r="G630" s="19" t="n">
        <x:v>60</x:v>
      </x:c>
      <x:c r="H630" s="19" t="n">
        <x:v>24</x:v>
      </x:c>
      <x:c r="I630" s="17" t="n">
        <x:v>0</x:v>
      </x:c>
      <x:c r="J630" s="19" t="n">
        <x:v>2</x:v>
      </x:c>
      <x:c r="K630" s="19" t="n">
        <x:f>E630*G630</x:f>
        <x:v>60</x:v>
      </x:c>
      <x:c r="L630" s="19" t="n">
        <x:f>K630*I630</x:f>
        <x:v>0</x:v>
      </x:c>
      <x:c r="M630" s="19" t="n">
        <x:f>(E630-F630)*G630*(1-I630)</x:f>
        <x:v>60</x:v>
      </x:c>
      <x:c r="N630" s="19" t="n">
        <x:f>(E630-F630)*H630</x:f>
        <x:v>24</x:v>
      </x:c>
      <x:c r="O630" s="19" t="n">
        <x:f>F630*J630</x:f>
        <x:v>0</x:v>
      </x:c>
      <x:c r="P630" s="19" t="n">
        <x:f>M630-N630-O630</x:f>
        <x:v>36</x:v>
      </x:c>
    </x:row>
    <x:row r="631">
      <x:c r="A631" s="15" t="str">
        <x:v>SIM-0627</x:v>
      </x:c>
      <x:c r="B631" s="15" t="str">
        <x:v>2026-03</x:v>
      </x:c>
      <x:c r="C631" s="15" t="str">
        <x:v>Calzado</x:v>
      </x:c>
      <x:c r="D631" s="15" t="str">
        <x:v>Tienda</x:v>
      </x:c>
      <x:c r="E631" s="15" t="n">
        <x:v>2</x:v>
      </x:c>
      <x:c r="F631" s="15" t="n">
        <x:v>0</x:v>
      </x:c>
      <x:c r="G631" s="19" t="n">
        <x:v>90</x:v>
      </x:c>
      <x:c r="H631" s="19" t="n">
        <x:v>42</x:v>
      </x:c>
      <x:c r="I631" s="17" t="n">
        <x:v>0</x:v>
      </x:c>
      <x:c r="J631" s="19" t="n">
        <x:v>2</x:v>
      </x:c>
      <x:c r="K631" s="19" t="n">
        <x:f>E631*G631</x:f>
        <x:v>180</x:v>
      </x:c>
      <x:c r="L631" s="19" t="n">
        <x:f>K631*I631</x:f>
        <x:v>0</x:v>
      </x:c>
      <x:c r="M631" s="19" t="n">
        <x:f>(E631-F631)*G631*(1-I631)</x:f>
        <x:v>180</x:v>
      </x:c>
      <x:c r="N631" s="19" t="n">
        <x:f>(E631-F631)*H631</x:f>
        <x:v>84</x:v>
      </x:c>
      <x:c r="O631" s="19" t="n">
        <x:f>F631*J631</x:f>
        <x:v>0</x:v>
      </x:c>
      <x:c r="P631" s="19" t="n">
        <x:f>M631-N631-O631</x:f>
        <x:v>96</x:v>
      </x:c>
    </x:row>
    <x:row r="632">
      <x:c r="A632" s="15" t="str">
        <x:v>SIM-0628</x:v>
      </x:c>
      <x:c r="B632" s="15" t="str">
        <x:v>2026-03</x:v>
      </x:c>
      <x:c r="C632" s="15" t="str">
        <x:v>Prendas</x:v>
      </x:c>
      <x:c r="D632" s="15" t="str">
        <x:v>Tienda</x:v>
      </x:c>
      <x:c r="E632" s="15" t="n">
        <x:v>2</x:v>
      </x:c>
      <x:c r="F632" s="15" t="n">
        <x:v>0</x:v>
      </x:c>
      <x:c r="G632" s="19" t="n">
        <x:v>60</x:v>
      </x:c>
      <x:c r="H632" s="19" t="n">
        <x:v>24</x:v>
      </x:c>
      <x:c r="I632" s="17" t="n">
        <x:v>0.1</x:v>
      </x:c>
      <x:c r="J632" s="19" t="n">
        <x:v>2</x:v>
      </x:c>
      <x:c r="K632" s="19" t="n">
        <x:f>E632*G632</x:f>
        <x:v>120</x:v>
      </x:c>
      <x:c r="L632" s="19" t="n">
        <x:f>K632*I632</x:f>
        <x:v>12</x:v>
      </x:c>
      <x:c r="M632" s="19" t="n">
        <x:f>(E632-F632)*G632*(1-I632)</x:f>
        <x:v>108</x:v>
      </x:c>
      <x:c r="N632" s="19" t="n">
        <x:f>(E632-F632)*H632</x:f>
        <x:v>48</x:v>
      </x:c>
      <x:c r="O632" s="19" t="n">
        <x:f>F632*J632</x:f>
        <x:v>0</x:v>
      </x:c>
      <x:c r="P632" s="19" t="n">
        <x:f>M632-N632-O632</x:f>
        <x:v>60</x:v>
      </x:c>
    </x:row>
    <x:row r="633">
      <x:c r="A633" s="15" t="str">
        <x:v>SIM-0629</x:v>
      </x:c>
      <x:c r="B633" s="15" t="str">
        <x:v>2026-03</x:v>
      </x:c>
      <x:c r="C633" s="15" t="str">
        <x:v>Calzado</x:v>
      </x:c>
      <x:c r="D633" s="15" t="str">
        <x:v>Tienda</x:v>
      </x:c>
      <x:c r="E633" s="15" t="n">
        <x:v>3</x:v>
      </x:c>
      <x:c r="F633" s="15" t="n">
        <x:v>0</x:v>
      </x:c>
      <x:c r="G633" s="19" t="n">
        <x:v>90</x:v>
      </x:c>
      <x:c r="H633" s="19" t="n">
        <x:v>42</x:v>
      </x:c>
      <x:c r="I633" s="17" t="n">
        <x:v>0.1</x:v>
      </x:c>
      <x:c r="J633" s="19" t="n">
        <x:v>2</x:v>
      </x:c>
      <x:c r="K633" s="19" t="n">
        <x:f>E633*G633</x:f>
        <x:v>270</x:v>
      </x:c>
      <x:c r="L633" s="19" t="n">
        <x:f>K633*I633</x:f>
        <x:v>27</x:v>
      </x:c>
      <x:c r="M633" s="19" t="n">
        <x:f>(E633-F633)*G633*(1-I633)</x:f>
        <x:v>243</x:v>
      </x:c>
      <x:c r="N633" s="19" t="n">
        <x:f>(E633-F633)*H633</x:f>
        <x:v>126</x:v>
      </x:c>
      <x:c r="O633" s="19" t="n">
        <x:f>F633*J633</x:f>
        <x:v>0</x:v>
      </x:c>
      <x:c r="P633" s="19" t="n">
        <x:f>M633-N633-O633</x:f>
        <x:v>117</x:v>
      </x:c>
    </x:row>
    <x:row r="634">
      <x:c r="A634" s="15" t="str">
        <x:v>SIM-0630</x:v>
      </x:c>
      <x:c r="B634" s="15" t="str">
        <x:v>2026-03</x:v>
      </x:c>
      <x:c r="C634" s="15" t="str">
        <x:v>Prendas</x:v>
      </x:c>
      <x:c r="D634" s="15" t="str">
        <x:v>Online</x:v>
      </x:c>
      <x:c r="E634" s="15" t="n">
        <x:v>1</x:v>
      </x:c>
      <x:c r="F634" s="15" t="n">
        <x:v>0</x:v>
      </x:c>
      <x:c r="G634" s="19" t="n">
        <x:v>60</x:v>
      </x:c>
      <x:c r="H634" s="19" t="n">
        <x:v>24</x:v>
      </x:c>
      <x:c r="I634" s="17" t="n">
        <x:v>0</x:v>
      </x:c>
      <x:c r="J634" s="19" t="n">
        <x:v>6</x:v>
      </x:c>
      <x:c r="K634" s="19" t="n">
        <x:f>E634*G634</x:f>
        <x:v>60</x:v>
      </x:c>
      <x:c r="L634" s="19" t="n">
        <x:f>K634*I634</x:f>
        <x:v>0</x:v>
      </x:c>
      <x:c r="M634" s="19" t="n">
        <x:f>(E634-F634)*G634*(1-I634)</x:f>
        <x:v>60</x:v>
      </x:c>
      <x:c r="N634" s="19" t="n">
        <x:f>(E634-F634)*H634</x:f>
        <x:v>24</x:v>
      </x:c>
      <x:c r="O634" s="19" t="n">
        <x:f>F634*J634</x:f>
        <x:v>0</x:v>
      </x:c>
      <x:c r="P634" s="19" t="n">
        <x:f>M634-N634-O634</x:f>
        <x:v>36</x:v>
      </x:c>
    </x:row>
    <x:row r="635">
      <x:c r="A635" s="15" t="str">
        <x:v>SIM-0631</x:v>
      </x:c>
      <x:c r="B635" s="15" t="str">
        <x:v>2026-03</x:v>
      </x:c>
      <x:c r="C635" s="15" t="str">
        <x:v>Accesorios</x:v>
      </x:c>
      <x:c r="D635" s="15" t="str">
        <x:v>Tienda</x:v>
      </x:c>
      <x:c r="E635" s="15" t="n">
        <x:v>1</x:v>
      </x:c>
      <x:c r="F635" s="15" t="n">
        <x:v>0</x:v>
      </x:c>
      <x:c r="G635" s="19" t="n">
        <x:v>30</x:v>
      </x:c>
      <x:c r="H635" s="19" t="n">
        <x:v>9</x:v>
      </x:c>
      <x:c r="I635" s="17" t="n">
        <x:v>0</x:v>
      </x:c>
      <x:c r="J635" s="19" t="n">
        <x:v>2</x:v>
      </x:c>
      <x:c r="K635" s="19" t="n">
        <x:f>E635*G635</x:f>
        <x:v>30</x:v>
      </x:c>
      <x:c r="L635" s="19" t="n">
        <x:f>K635*I635</x:f>
        <x:v>0</x:v>
      </x:c>
      <x:c r="M635" s="19" t="n">
        <x:f>(E635-F635)*G635*(1-I635)</x:f>
        <x:v>30</x:v>
      </x:c>
      <x:c r="N635" s="19" t="n">
        <x:f>(E635-F635)*H635</x:f>
        <x:v>9</x:v>
      </x:c>
      <x:c r="O635" s="19" t="n">
        <x:f>F635*J635</x:f>
        <x:v>0</x:v>
      </x:c>
      <x:c r="P635" s="19" t="n">
        <x:f>M635-N635-O635</x:f>
        <x:v>21</x:v>
      </x:c>
    </x:row>
    <x:row r="636">
      <x:c r="A636" s="15" t="str">
        <x:v>SIM-0632</x:v>
      </x:c>
      <x:c r="B636" s="15" t="str">
        <x:v>2026-03</x:v>
      </x:c>
      <x:c r="C636" s="15" t="str">
        <x:v>Accesorios</x:v>
      </x:c>
      <x:c r="D636" s="15" t="str">
        <x:v>Tienda</x:v>
      </x:c>
      <x:c r="E636" s="15" t="n">
        <x:v>1</x:v>
      </x:c>
      <x:c r="F636" s="15" t="n">
        <x:v>0</x:v>
      </x:c>
      <x:c r="G636" s="19" t="n">
        <x:v>30</x:v>
      </x:c>
      <x:c r="H636" s="19" t="n">
        <x:v>9</x:v>
      </x:c>
      <x:c r="I636" s="17" t="n">
        <x:v>0.1</x:v>
      </x:c>
      <x:c r="J636" s="19" t="n">
        <x:v>2</x:v>
      </x:c>
      <x:c r="K636" s="19" t="n">
        <x:f>E636*G636</x:f>
        <x:v>30</x:v>
      </x:c>
      <x:c r="L636" s="19" t="n">
        <x:f>K636*I636</x:f>
        <x:v>3</x:v>
      </x:c>
      <x:c r="M636" s="19" t="n">
        <x:f>(E636-F636)*G636*(1-I636)</x:f>
        <x:v>27</x:v>
      </x:c>
      <x:c r="N636" s="19" t="n">
        <x:f>(E636-F636)*H636</x:f>
        <x:v>9</x:v>
      </x:c>
      <x:c r="O636" s="19" t="n">
        <x:f>F636*J636</x:f>
        <x:v>0</x:v>
      </x:c>
      <x:c r="P636" s="19" t="n">
        <x:f>M636-N636-O636</x:f>
        <x:v>18</x:v>
      </x:c>
    </x:row>
    <x:row r="637">
      <x:c r="A637" s="15" t="str">
        <x:v>SIM-0633</x:v>
      </x:c>
      <x:c r="B637" s="15" t="str">
        <x:v>2026-03</x:v>
      </x:c>
      <x:c r="C637" s="15" t="str">
        <x:v>Calzado</x:v>
      </x:c>
      <x:c r="D637" s="15" t="str">
        <x:v>Online</x:v>
      </x:c>
      <x:c r="E637" s="15" t="n">
        <x:v>1</x:v>
      </x:c>
      <x:c r="F637" s="15" t="n">
        <x:v>1</x:v>
      </x:c>
      <x:c r="G637" s="19" t="n">
        <x:v>90</x:v>
      </x:c>
      <x:c r="H637" s="19" t="n">
        <x:v>42</x:v>
      </x:c>
      <x:c r="I637" s="17" t="n">
        <x:v>0</x:v>
      </x:c>
      <x:c r="J637" s="19" t="n">
        <x:v>6</x:v>
      </x:c>
      <x:c r="K637" s="19" t="n">
        <x:f>E637*G637</x:f>
        <x:v>90</x:v>
      </x:c>
      <x:c r="L637" s="19" t="n">
        <x:f>K637*I637</x:f>
        <x:v>0</x:v>
      </x:c>
      <x:c r="M637" s="19" t="n">
        <x:f>(E637-F637)*G637*(1-I637)</x:f>
        <x:v>0</x:v>
      </x:c>
      <x:c r="N637" s="19" t="n">
        <x:f>(E637-F637)*H637</x:f>
        <x:v>0</x:v>
      </x:c>
      <x:c r="O637" s="19" t="n">
        <x:f>F637*J637</x:f>
        <x:v>6</x:v>
      </x:c>
      <x:c r="P637" s="19" t="n">
        <x:f>M637-N637-O637</x:f>
        <x:v>-6</x:v>
      </x:c>
    </x:row>
    <x:row r="638">
      <x:c r="A638" s="15" t="str">
        <x:v>SIM-0634</x:v>
      </x:c>
      <x:c r="B638" s="15" t="str">
        <x:v>2026-03</x:v>
      </x:c>
      <x:c r="C638" s="15" t="str">
        <x:v>Calzado</x:v>
      </x:c>
      <x:c r="D638" s="15" t="str">
        <x:v>Online</x:v>
      </x:c>
      <x:c r="E638" s="15" t="n">
        <x:v>1</x:v>
      </x:c>
      <x:c r="F638" s="15" t="n">
        <x:v>0</x:v>
      </x:c>
      <x:c r="G638" s="19" t="n">
        <x:v>90</x:v>
      </x:c>
      <x:c r="H638" s="19" t="n">
        <x:v>42</x:v>
      </x:c>
      <x:c r="I638" s="17" t="n">
        <x:v>0.2</x:v>
      </x:c>
      <x:c r="J638" s="19" t="n">
        <x:v>6</x:v>
      </x:c>
      <x:c r="K638" s="19" t="n">
        <x:f>E638*G638</x:f>
        <x:v>90</x:v>
      </x:c>
      <x:c r="L638" s="19" t="n">
        <x:f>K638*I638</x:f>
        <x:v>18</x:v>
      </x:c>
      <x:c r="M638" s="19" t="n">
        <x:f>(E638-F638)*G638*(1-I638)</x:f>
        <x:v>72</x:v>
      </x:c>
      <x:c r="N638" s="19" t="n">
        <x:f>(E638-F638)*H638</x:f>
        <x:v>42</x:v>
      </x:c>
      <x:c r="O638" s="19" t="n">
        <x:f>F638*J638</x:f>
        <x:v>0</x:v>
      </x:c>
      <x:c r="P638" s="19" t="n">
        <x:f>M638-N638-O638</x:f>
        <x:v>30</x:v>
      </x:c>
    </x:row>
    <x:row r="639">
      <x:c r="A639" s="15" t="str">
        <x:v>SIM-0635</x:v>
      </x:c>
      <x:c r="B639" s="15" t="str">
        <x:v>2026-03</x:v>
      </x:c>
      <x:c r="C639" s="15" t="str">
        <x:v>Prendas</x:v>
      </x:c>
      <x:c r="D639" s="15" t="str">
        <x:v>Tienda</x:v>
      </x:c>
      <x:c r="E639" s="15" t="n">
        <x:v>1</x:v>
      </x:c>
      <x:c r="F639" s="15" t="n">
        <x:v>0</x:v>
      </x:c>
      <x:c r="G639" s="19" t="n">
        <x:v>60</x:v>
      </x:c>
      <x:c r="H639" s="19" t="n">
        <x:v>24</x:v>
      </x:c>
      <x:c r="I639" s="17" t="n">
        <x:v>0</x:v>
      </x:c>
      <x:c r="J639" s="19" t="n">
        <x:v>2</x:v>
      </x:c>
      <x:c r="K639" s="19" t="n">
        <x:f>E639*G639</x:f>
        <x:v>60</x:v>
      </x:c>
      <x:c r="L639" s="19" t="n">
        <x:f>K639*I639</x:f>
        <x:v>0</x:v>
      </x:c>
      <x:c r="M639" s="19" t="n">
        <x:f>(E639-F639)*G639*(1-I639)</x:f>
        <x:v>60</x:v>
      </x:c>
      <x:c r="N639" s="19" t="n">
        <x:f>(E639-F639)*H639</x:f>
        <x:v>24</x:v>
      </x:c>
      <x:c r="O639" s="19" t="n">
        <x:f>F639*J639</x:f>
        <x:v>0</x:v>
      </x:c>
      <x:c r="P639" s="19" t="n">
        <x:f>M639-N639-O639</x:f>
        <x:v>36</x:v>
      </x:c>
    </x:row>
    <x:row r="640">
      <x:c r="A640" s="15" t="str">
        <x:v>SIM-0636</x:v>
      </x:c>
      <x:c r="B640" s="15" t="str">
        <x:v>2026-03</x:v>
      </x:c>
      <x:c r="C640" s="15" t="str">
        <x:v>Accesorios</x:v>
      </x:c>
      <x:c r="D640" s="15" t="str">
        <x:v>Online</x:v>
      </x:c>
      <x:c r="E640" s="15" t="n">
        <x:v>1</x:v>
      </x:c>
      <x:c r="F640" s="15" t="n">
        <x:v>0</x:v>
      </x:c>
      <x:c r="G640" s="19" t="n">
        <x:v>30</x:v>
      </x:c>
      <x:c r="H640" s="19" t="n">
        <x:v>9</x:v>
      </x:c>
      <x:c r="I640" s="17" t="n">
        <x:v>0.1</x:v>
      </x:c>
      <x:c r="J640" s="19" t="n">
        <x:v>6</x:v>
      </x:c>
      <x:c r="K640" s="19" t="n">
        <x:f>E640*G640</x:f>
        <x:v>30</x:v>
      </x:c>
      <x:c r="L640" s="19" t="n">
        <x:f>K640*I640</x:f>
        <x:v>3</x:v>
      </x:c>
      <x:c r="M640" s="19" t="n">
        <x:f>(E640-F640)*G640*(1-I640)</x:f>
        <x:v>27</x:v>
      </x:c>
      <x:c r="N640" s="19" t="n">
        <x:f>(E640-F640)*H640</x:f>
        <x:v>9</x:v>
      </x:c>
      <x:c r="O640" s="19" t="n">
        <x:f>F640*J640</x:f>
        <x:v>0</x:v>
      </x:c>
      <x:c r="P640" s="19" t="n">
        <x:f>M640-N640-O640</x:f>
        <x:v>18</x:v>
      </x:c>
    </x:row>
    <x:row r="641">
      <x:c r="A641" s="15" t="str">
        <x:v>SIM-0637</x:v>
      </x:c>
      <x:c r="B641" s="15" t="str">
        <x:v>2026-03</x:v>
      </x:c>
      <x:c r="C641" s="15" t="str">
        <x:v>Calzado</x:v>
      </x:c>
      <x:c r="D641" s="15" t="str">
        <x:v>Tienda</x:v>
      </x:c>
      <x:c r="E641" s="15" t="n">
        <x:v>1</x:v>
      </x:c>
      <x:c r="F641" s="15" t="n">
        <x:v>0</x:v>
      </x:c>
      <x:c r="G641" s="19" t="n">
        <x:v>90</x:v>
      </x:c>
      <x:c r="H641" s="19" t="n">
        <x:v>42</x:v>
      </x:c>
      <x:c r="I641" s="17" t="n">
        <x:v>0.3</x:v>
      </x:c>
      <x:c r="J641" s="19" t="n">
        <x:v>2</x:v>
      </x:c>
      <x:c r="K641" s="19" t="n">
        <x:f>E641*G641</x:f>
        <x:v>90</x:v>
      </x:c>
      <x:c r="L641" s="19" t="n">
        <x:f>K641*I641</x:f>
        <x:v>27</x:v>
      </x:c>
      <x:c r="M641" s="19" t="n">
        <x:f>(E641-F641)*G641*(1-I641)</x:f>
        <x:v>62.99999999999999</x:v>
      </x:c>
      <x:c r="N641" s="19" t="n">
        <x:f>(E641-F641)*H641</x:f>
        <x:v>42</x:v>
      </x:c>
      <x:c r="O641" s="19" t="n">
        <x:f>F641*J641</x:f>
        <x:v>0</x:v>
      </x:c>
      <x:c r="P641" s="19" t="n">
        <x:f>M641-N641-O641</x:f>
        <x:v>20.999999999999993</x:v>
      </x:c>
    </x:row>
    <x:row r="642">
      <x:c r="A642" s="15" t="str">
        <x:v>SIM-0638</x:v>
      </x:c>
      <x:c r="B642" s="15" t="str">
        <x:v>2026-03</x:v>
      </x:c>
      <x:c r="C642" s="15" t="str">
        <x:v>Accesorios</x:v>
      </x:c>
      <x:c r="D642" s="15" t="str">
        <x:v>Online</x:v>
      </x:c>
      <x:c r="E642" s="15" t="n">
        <x:v>2</x:v>
      </x:c>
      <x:c r="F642" s="15" t="n">
        <x:v>0</x:v>
      </x:c>
      <x:c r="G642" s="19" t="n">
        <x:v>30</x:v>
      </x:c>
      <x:c r="H642" s="19" t="n">
        <x:v>9</x:v>
      </x:c>
      <x:c r="I642" s="17" t="n">
        <x:v>0</x:v>
      </x:c>
      <x:c r="J642" s="19" t="n">
        <x:v>6</x:v>
      </x:c>
      <x:c r="K642" s="19" t="n">
        <x:f>E642*G642</x:f>
        <x:v>60</x:v>
      </x:c>
      <x:c r="L642" s="19" t="n">
        <x:f>K642*I642</x:f>
        <x:v>0</x:v>
      </x:c>
      <x:c r="M642" s="19" t="n">
        <x:f>(E642-F642)*G642*(1-I642)</x:f>
        <x:v>60</x:v>
      </x:c>
      <x:c r="N642" s="19" t="n">
        <x:f>(E642-F642)*H642</x:f>
        <x:v>18</x:v>
      </x:c>
      <x:c r="O642" s="19" t="n">
        <x:f>F642*J642</x:f>
        <x:v>0</x:v>
      </x:c>
      <x:c r="P642" s="19" t="n">
        <x:f>M642-N642-O642</x:f>
        <x:v>42</x:v>
      </x:c>
    </x:row>
    <x:row r="643">
      <x:c r="A643" s="15" t="str">
        <x:v>SIM-0639</x:v>
      </x:c>
      <x:c r="B643" s="15" t="str">
        <x:v>2026-03</x:v>
      </x:c>
      <x:c r="C643" s="15" t="str">
        <x:v>Calzado</x:v>
      </x:c>
      <x:c r="D643" s="15" t="str">
        <x:v>Online</x:v>
      </x:c>
      <x:c r="E643" s="15" t="n">
        <x:v>1</x:v>
      </x:c>
      <x:c r="F643" s="15" t="n">
        <x:v>0</x:v>
      </x:c>
      <x:c r="G643" s="19" t="n">
        <x:v>90</x:v>
      </x:c>
      <x:c r="H643" s="19" t="n">
        <x:v>42</x:v>
      </x:c>
      <x:c r="I643" s="17" t="n">
        <x:v>0</x:v>
      </x:c>
      <x:c r="J643" s="19" t="n">
        <x:v>6</x:v>
      </x:c>
      <x:c r="K643" s="19" t="n">
        <x:f>E643*G643</x:f>
        <x:v>90</x:v>
      </x:c>
      <x:c r="L643" s="19" t="n">
        <x:f>K643*I643</x:f>
        <x:v>0</x:v>
      </x:c>
      <x:c r="M643" s="19" t="n">
        <x:f>(E643-F643)*G643*(1-I643)</x:f>
        <x:v>90</x:v>
      </x:c>
      <x:c r="N643" s="19" t="n">
        <x:f>(E643-F643)*H643</x:f>
        <x:v>42</x:v>
      </x:c>
      <x:c r="O643" s="19" t="n">
        <x:f>F643*J643</x:f>
        <x:v>0</x:v>
      </x:c>
      <x:c r="P643" s="19" t="n">
        <x:f>M643-N643-O643</x:f>
        <x:v>48</x:v>
      </x:c>
    </x:row>
    <x:row r="644">
      <x:c r="A644" s="15" t="str">
        <x:v>SIM-0640</x:v>
      </x:c>
      <x:c r="B644" s="15" t="str">
        <x:v>2026-03</x:v>
      </x:c>
      <x:c r="C644" s="15" t="str">
        <x:v>Prendas</x:v>
      </x:c>
      <x:c r="D644" s="15" t="str">
        <x:v>Online</x:v>
      </x:c>
      <x:c r="E644" s="15" t="n">
        <x:v>1</x:v>
      </x:c>
      <x:c r="F644" s="15" t="n">
        <x:v>0</x:v>
      </x:c>
      <x:c r="G644" s="19" t="n">
        <x:v>60</x:v>
      </x:c>
      <x:c r="H644" s="19" t="n">
        <x:v>24</x:v>
      </x:c>
      <x:c r="I644" s="17" t="n">
        <x:v>0.1</x:v>
      </x:c>
      <x:c r="J644" s="19" t="n">
        <x:v>6</x:v>
      </x:c>
      <x:c r="K644" s="19" t="n">
        <x:f>E644*G644</x:f>
        <x:v>60</x:v>
      </x:c>
      <x:c r="L644" s="19" t="n">
        <x:f>K644*I644</x:f>
        <x:v>6</x:v>
      </x:c>
      <x:c r="M644" s="19" t="n">
        <x:f>(E644-F644)*G644*(1-I644)</x:f>
        <x:v>54</x:v>
      </x:c>
      <x:c r="N644" s="19" t="n">
        <x:f>(E644-F644)*H644</x:f>
        <x:v>24</x:v>
      </x:c>
      <x:c r="O644" s="19" t="n">
        <x:f>F644*J644</x:f>
        <x:v>0</x:v>
      </x:c>
      <x:c r="P644" s="19" t="n">
        <x:f>M644-N644-O644</x:f>
        <x:v>30</x:v>
      </x:c>
    </x:row>
    <x:row r="645">
      <x:c r="A645" s="15" t="str">
        <x:v>SIM-0641</x:v>
      </x:c>
      <x:c r="B645" s="15" t="str">
        <x:v>2026-03</x:v>
      </x:c>
      <x:c r="C645" s="15" t="str">
        <x:v>Accesorios</x:v>
      </x:c>
      <x:c r="D645" s="15" t="str">
        <x:v>Tienda</x:v>
      </x:c>
      <x:c r="E645" s="15" t="n">
        <x:v>2</x:v>
      </x:c>
      <x:c r="F645" s="15" t="n">
        <x:v>0</x:v>
      </x:c>
      <x:c r="G645" s="19" t="n">
        <x:v>30</x:v>
      </x:c>
      <x:c r="H645" s="19" t="n">
        <x:v>9</x:v>
      </x:c>
      <x:c r="I645" s="17" t="n">
        <x:v>0</x:v>
      </x:c>
      <x:c r="J645" s="19" t="n">
        <x:v>2</x:v>
      </x:c>
      <x:c r="K645" s="19" t="n">
        <x:f>E645*G645</x:f>
        <x:v>60</x:v>
      </x:c>
      <x:c r="L645" s="19" t="n">
        <x:f>K645*I645</x:f>
        <x:v>0</x:v>
      </x:c>
      <x:c r="M645" s="19" t="n">
        <x:f>(E645-F645)*G645*(1-I645)</x:f>
        <x:v>60</x:v>
      </x:c>
      <x:c r="N645" s="19" t="n">
        <x:f>(E645-F645)*H645</x:f>
        <x:v>18</x:v>
      </x:c>
      <x:c r="O645" s="19" t="n">
        <x:f>F645*J645</x:f>
        <x:v>0</x:v>
      </x:c>
      <x:c r="P645" s="19" t="n">
        <x:f>M645-N645-O645</x:f>
        <x:v>42</x:v>
      </x:c>
    </x:row>
    <x:row r="646">
      <x:c r="A646" s="15" t="str">
        <x:v>SIM-0642</x:v>
      </x:c>
      <x:c r="B646" s="15" t="str">
        <x:v>2026-03</x:v>
      </x:c>
      <x:c r="C646" s="15" t="str">
        <x:v>Prendas</x:v>
      </x:c>
      <x:c r="D646" s="15" t="str">
        <x:v>Online</x:v>
      </x:c>
      <x:c r="E646" s="15" t="n">
        <x:v>2</x:v>
      </x:c>
      <x:c r="F646" s="15" t="n">
        <x:v>1</x:v>
      </x:c>
      <x:c r="G646" s="19" t="n">
        <x:v>60</x:v>
      </x:c>
      <x:c r="H646" s="19" t="n">
        <x:v>24</x:v>
      </x:c>
      <x:c r="I646" s="17" t="n">
        <x:v>0</x:v>
      </x:c>
      <x:c r="J646" s="19" t="n">
        <x:v>6</x:v>
      </x:c>
      <x:c r="K646" s="19" t="n">
        <x:f>E646*G646</x:f>
        <x:v>120</x:v>
      </x:c>
      <x:c r="L646" s="19" t="n">
        <x:f>K646*I646</x:f>
        <x:v>0</x:v>
      </x:c>
      <x:c r="M646" s="19" t="n">
        <x:f>(E646-F646)*G646*(1-I646)</x:f>
        <x:v>60</x:v>
      </x:c>
      <x:c r="N646" s="19" t="n">
        <x:f>(E646-F646)*H646</x:f>
        <x:v>24</x:v>
      </x:c>
      <x:c r="O646" s="19" t="n">
        <x:f>F646*J646</x:f>
        <x:v>6</x:v>
      </x:c>
      <x:c r="P646" s="19" t="n">
        <x:f>M646-N646-O646</x:f>
        <x:v>30</x:v>
      </x:c>
    </x:row>
    <x:row r="647">
      <x:c r="A647" s="15" t="str">
        <x:v>SIM-0643</x:v>
      </x:c>
      <x:c r="B647" s="15" t="str">
        <x:v>2026-03</x:v>
      </x:c>
      <x:c r="C647" s="15" t="str">
        <x:v>Prendas</x:v>
      </x:c>
      <x:c r="D647" s="15" t="str">
        <x:v>Online</x:v>
      </x:c>
      <x:c r="E647" s="15" t="n">
        <x:v>2</x:v>
      </x:c>
      <x:c r="F647" s="15" t="n">
        <x:v>0</x:v>
      </x:c>
      <x:c r="G647" s="19" t="n">
        <x:v>60</x:v>
      </x:c>
      <x:c r="H647" s="19" t="n">
        <x:v>24</x:v>
      </x:c>
      <x:c r="I647" s="17" t="n">
        <x:v>0.3</x:v>
      </x:c>
      <x:c r="J647" s="19" t="n">
        <x:v>6</x:v>
      </x:c>
      <x:c r="K647" s="19" t="n">
        <x:f>E647*G647</x:f>
        <x:v>120</x:v>
      </x:c>
      <x:c r="L647" s="19" t="n">
        <x:f>K647*I647</x:f>
        <x:v>36</x:v>
      </x:c>
      <x:c r="M647" s="19" t="n">
        <x:f>(E647-F647)*G647*(1-I647)</x:f>
        <x:v>84</x:v>
      </x:c>
      <x:c r="N647" s="19" t="n">
        <x:f>(E647-F647)*H647</x:f>
        <x:v>48</x:v>
      </x:c>
      <x:c r="O647" s="19" t="n">
        <x:f>F647*J647</x:f>
        <x:v>0</x:v>
      </x:c>
      <x:c r="P647" s="19" t="n">
        <x:f>M647-N647-O647</x:f>
        <x:v>36</x:v>
      </x:c>
    </x:row>
    <x:row r="648">
      <x:c r="A648" s="15" t="str">
        <x:v>SIM-0644</x:v>
      </x:c>
      <x:c r="B648" s="15" t="str">
        <x:v>2026-03</x:v>
      </x:c>
      <x:c r="C648" s="15" t="str">
        <x:v>Prendas</x:v>
      </x:c>
      <x:c r="D648" s="15" t="str">
        <x:v>Tienda</x:v>
      </x:c>
      <x:c r="E648" s="15" t="n">
        <x:v>2</x:v>
      </x:c>
      <x:c r="F648" s="15" t="n">
        <x:v>0</x:v>
      </x:c>
      <x:c r="G648" s="19" t="n">
        <x:v>60</x:v>
      </x:c>
      <x:c r="H648" s="19" t="n">
        <x:v>24</x:v>
      </x:c>
      <x:c r="I648" s="17" t="n">
        <x:v>0.1</x:v>
      </x:c>
      <x:c r="J648" s="19" t="n">
        <x:v>2</x:v>
      </x:c>
      <x:c r="K648" s="19" t="n">
        <x:f>E648*G648</x:f>
        <x:v>120</x:v>
      </x:c>
      <x:c r="L648" s="19" t="n">
        <x:f>K648*I648</x:f>
        <x:v>12</x:v>
      </x:c>
      <x:c r="M648" s="19" t="n">
        <x:f>(E648-F648)*G648*(1-I648)</x:f>
        <x:v>108</x:v>
      </x:c>
      <x:c r="N648" s="19" t="n">
        <x:f>(E648-F648)*H648</x:f>
        <x:v>48</x:v>
      </x:c>
      <x:c r="O648" s="19" t="n">
        <x:f>F648*J648</x:f>
        <x:v>0</x:v>
      </x:c>
      <x:c r="P648" s="19" t="n">
        <x:f>M648-N648-O648</x:f>
        <x:v>60</x:v>
      </x:c>
    </x:row>
    <x:row r="649">
      <x:c r="A649" s="15" t="str">
        <x:v>SIM-0645</x:v>
      </x:c>
      <x:c r="B649" s="15" t="str">
        <x:v>2026-03</x:v>
      </x:c>
      <x:c r="C649" s="15" t="str">
        <x:v>Accesorios</x:v>
      </x:c>
      <x:c r="D649" s="15" t="str">
        <x:v>Online</x:v>
      </x:c>
      <x:c r="E649" s="15" t="n">
        <x:v>1</x:v>
      </x:c>
      <x:c r="F649" s="15" t="n">
        <x:v>1</x:v>
      </x:c>
      <x:c r="G649" s="19" t="n">
        <x:v>30</x:v>
      </x:c>
      <x:c r="H649" s="19" t="n">
        <x:v>9</x:v>
      </x:c>
      <x:c r="I649" s="17" t="n">
        <x:v>0</x:v>
      </x:c>
      <x:c r="J649" s="19" t="n">
        <x:v>6</x:v>
      </x:c>
      <x:c r="K649" s="19" t="n">
        <x:f>E649*G649</x:f>
        <x:v>30</x:v>
      </x:c>
      <x:c r="L649" s="19" t="n">
        <x:f>K649*I649</x:f>
        <x:v>0</x:v>
      </x:c>
      <x:c r="M649" s="19" t="n">
        <x:f>(E649-F649)*G649*(1-I649)</x:f>
        <x:v>0</x:v>
      </x:c>
      <x:c r="N649" s="19" t="n">
        <x:f>(E649-F649)*H649</x:f>
        <x:v>0</x:v>
      </x:c>
      <x:c r="O649" s="19" t="n">
        <x:f>F649*J649</x:f>
        <x:v>6</x:v>
      </x:c>
      <x:c r="P649" s="19" t="n">
        <x:f>M649-N649-O649</x:f>
        <x:v>-6</x:v>
      </x:c>
    </x:row>
    <x:row r="650">
      <x:c r="A650" s="15" t="str">
        <x:v>SIM-0646</x:v>
      </x:c>
      <x:c r="B650" s="15" t="str">
        <x:v>2026-03</x:v>
      </x:c>
      <x:c r="C650" s="15" t="str">
        <x:v>Prendas</x:v>
      </x:c>
      <x:c r="D650" s="15" t="str">
        <x:v>Online</x:v>
      </x:c>
      <x:c r="E650" s="15" t="n">
        <x:v>1</x:v>
      </x:c>
      <x:c r="F650" s="15" t="n">
        <x:v>0</x:v>
      </x:c>
      <x:c r="G650" s="19" t="n">
        <x:v>60</x:v>
      </x:c>
      <x:c r="H650" s="19" t="n">
        <x:v>24</x:v>
      </x:c>
      <x:c r="I650" s="17" t="n">
        <x:v>0.3</x:v>
      </x:c>
      <x:c r="J650" s="19" t="n">
        <x:v>6</x:v>
      </x:c>
      <x:c r="K650" s="19" t="n">
        <x:f>E650*G650</x:f>
        <x:v>60</x:v>
      </x:c>
      <x:c r="L650" s="19" t="n">
        <x:f>K650*I650</x:f>
        <x:v>18</x:v>
      </x:c>
      <x:c r="M650" s="19" t="n">
        <x:f>(E650-F650)*G650*(1-I650)</x:f>
        <x:v>42</x:v>
      </x:c>
      <x:c r="N650" s="19" t="n">
        <x:f>(E650-F650)*H650</x:f>
        <x:v>24</x:v>
      </x:c>
      <x:c r="O650" s="19" t="n">
        <x:f>F650*J650</x:f>
        <x:v>0</x:v>
      </x:c>
      <x:c r="P650" s="19" t="n">
        <x:f>M650-N650-O650</x:f>
        <x:v>18</x:v>
      </x:c>
    </x:row>
    <x:row r="651">
      <x:c r="A651" s="15" t="str">
        <x:v>SIM-0647</x:v>
      </x:c>
      <x:c r="B651" s="15" t="str">
        <x:v>2026-03</x:v>
      </x:c>
      <x:c r="C651" s="15" t="str">
        <x:v>Accesorios</x:v>
      </x:c>
      <x:c r="D651" s="15" t="str">
        <x:v>Online</x:v>
      </x:c>
      <x:c r="E651" s="15" t="n">
        <x:v>1</x:v>
      </x:c>
      <x:c r="F651" s="15" t="n">
        <x:v>0</x:v>
      </x:c>
      <x:c r="G651" s="19" t="n">
        <x:v>30</x:v>
      </x:c>
      <x:c r="H651" s="19" t="n">
        <x:v>9</x:v>
      </x:c>
      <x:c r="I651" s="17" t="n">
        <x:v>0.2</x:v>
      </x:c>
      <x:c r="J651" s="19" t="n">
        <x:v>6</x:v>
      </x:c>
      <x:c r="K651" s="19" t="n">
        <x:f>E651*G651</x:f>
        <x:v>30</x:v>
      </x:c>
      <x:c r="L651" s="19" t="n">
        <x:f>K651*I651</x:f>
        <x:v>6</x:v>
      </x:c>
      <x:c r="M651" s="19" t="n">
        <x:f>(E651-F651)*G651*(1-I651)</x:f>
        <x:v>24</x:v>
      </x:c>
      <x:c r="N651" s="19" t="n">
        <x:f>(E651-F651)*H651</x:f>
        <x:v>9</x:v>
      </x:c>
      <x:c r="O651" s="19" t="n">
        <x:f>F651*J651</x:f>
        <x:v>0</x:v>
      </x:c>
      <x:c r="P651" s="19" t="n">
        <x:f>M651-N651-O651</x:f>
        <x:v>15</x:v>
      </x:c>
    </x:row>
    <x:row r="652">
      <x:c r="A652" s="15" t="str">
        <x:v>SIM-0648</x:v>
      </x:c>
      <x:c r="B652" s="15" t="str">
        <x:v>2026-03</x:v>
      </x:c>
      <x:c r="C652" s="15" t="str">
        <x:v>Accesorios</x:v>
      </x:c>
      <x:c r="D652" s="15" t="str">
        <x:v>Online</x:v>
      </x:c>
      <x:c r="E652" s="15" t="n">
        <x:v>2</x:v>
      </x:c>
      <x:c r="F652" s="15" t="n">
        <x:v>0</x:v>
      </x:c>
      <x:c r="G652" s="19" t="n">
        <x:v>30</x:v>
      </x:c>
      <x:c r="H652" s="19" t="n">
        <x:v>9</x:v>
      </x:c>
      <x:c r="I652" s="17" t="n">
        <x:v>0.1</x:v>
      </x:c>
      <x:c r="J652" s="19" t="n">
        <x:v>6</x:v>
      </x:c>
      <x:c r="K652" s="19" t="n">
        <x:f>E652*G652</x:f>
        <x:v>60</x:v>
      </x:c>
      <x:c r="L652" s="19" t="n">
        <x:f>K652*I652</x:f>
        <x:v>6</x:v>
      </x:c>
      <x:c r="M652" s="19" t="n">
        <x:f>(E652-F652)*G652*(1-I652)</x:f>
        <x:v>54</x:v>
      </x:c>
      <x:c r="N652" s="19" t="n">
        <x:f>(E652-F652)*H652</x:f>
        <x:v>18</x:v>
      </x:c>
      <x:c r="O652" s="19" t="n">
        <x:f>F652*J652</x:f>
        <x:v>0</x:v>
      </x:c>
      <x:c r="P652" s="19" t="n">
        <x:f>M652-N652-O652</x:f>
        <x:v>36</x:v>
      </x:c>
    </x:row>
    <x:row r="653">
      <x:c r="A653" s="15" t="str">
        <x:v>SIM-0649</x:v>
      </x:c>
      <x:c r="B653" s="15" t="str">
        <x:v>2026-03</x:v>
      </x:c>
      <x:c r="C653" s="15" t="str">
        <x:v>Prendas</x:v>
      </x:c>
      <x:c r="D653" s="15" t="str">
        <x:v>Tienda</x:v>
      </x:c>
      <x:c r="E653" s="15" t="n">
        <x:v>2</x:v>
      </x:c>
      <x:c r="F653" s="15" t="n">
        <x:v>0</x:v>
      </x:c>
      <x:c r="G653" s="19" t="n">
        <x:v>60</x:v>
      </x:c>
      <x:c r="H653" s="19" t="n">
        <x:v>24</x:v>
      </x:c>
      <x:c r="I653" s="17" t="n">
        <x:v>0</x:v>
      </x:c>
      <x:c r="J653" s="19" t="n">
        <x:v>2</x:v>
      </x:c>
      <x:c r="K653" s="19" t="n">
        <x:f>E653*G653</x:f>
        <x:v>120</x:v>
      </x:c>
      <x:c r="L653" s="19" t="n">
        <x:f>K653*I653</x:f>
        <x:v>0</x:v>
      </x:c>
      <x:c r="M653" s="19" t="n">
        <x:f>(E653-F653)*G653*(1-I653)</x:f>
        <x:v>120</x:v>
      </x:c>
      <x:c r="N653" s="19" t="n">
        <x:f>(E653-F653)*H653</x:f>
        <x:v>48</x:v>
      </x:c>
      <x:c r="O653" s="19" t="n">
        <x:f>F653*J653</x:f>
        <x:v>0</x:v>
      </x:c>
      <x:c r="P653" s="19" t="n">
        <x:f>M653-N653-O653</x:f>
        <x:v>72</x:v>
      </x:c>
    </x:row>
    <x:row r="654">
      <x:c r="A654" s="15" t="str">
        <x:v>SIM-0650</x:v>
      </x:c>
      <x:c r="B654" s="15" t="str">
        <x:v>2026-03</x:v>
      </x:c>
      <x:c r="C654" s="15" t="str">
        <x:v>Prendas</x:v>
      </x:c>
      <x:c r="D654" s="15" t="str">
        <x:v>Tienda</x:v>
      </x:c>
      <x:c r="E654" s="15" t="n">
        <x:v>1</x:v>
      </x:c>
      <x:c r="F654" s="15" t="n">
        <x:v>0</x:v>
      </x:c>
      <x:c r="G654" s="19" t="n">
        <x:v>60</x:v>
      </x:c>
      <x:c r="H654" s="19" t="n">
        <x:v>24</x:v>
      </x:c>
      <x:c r="I654" s="17" t="n">
        <x:v>0.1</x:v>
      </x:c>
      <x:c r="J654" s="19" t="n">
        <x:v>2</x:v>
      </x:c>
      <x:c r="K654" s="19" t="n">
        <x:f>E654*G654</x:f>
        <x:v>60</x:v>
      </x:c>
      <x:c r="L654" s="19" t="n">
        <x:f>K654*I654</x:f>
        <x:v>6</x:v>
      </x:c>
      <x:c r="M654" s="19" t="n">
        <x:f>(E654-F654)*G654*(1-I654)</x:f>
        <x:v>54</x:v>
      </x:c>
      <x:c r="N654" s="19" t="n">
        <x:f>(E654-F654)*H654</x:f>
        <x:v>24</x:v>
      </x:c>
      <x:c r="O654" s="19" t="n">
        <x:f>F654*J654</x:f>
        <x:v>0</x:v>
      </x:c>
      <x:c r="P654" s="19" t="n">
        <x:f>M654-N654-O654</x:f>
        <x:v>30</x:v>
      </x:c>
    </x:row>
    <x:row r="655">
      <x:c r="A655" s="15" t="str">
        <x:v>SIM-0651</x:v>
      </x:c>
      <x:c r="B655" s="15" t="str">
        <x:v>2026-03</x:v>
      </x:c>
      <x:c r="C655" s="15" t="str">
        <x:v>Prendas</x:v>
      </x:c>
      <x:c r="D655" s="15" t="str">
        <x:v>Online</x:v>
      </x:c>
      <x:c r="E655" s="15" t="n">
        <x:v>3</x:v>
      </x:c>
      <x:c r="F655" s="15" t="n">
        <x:v>1</x:v>
      </x:c>
      <x:c r="G655" s="19" t="n">
        <x:v>60</x:v>
      </x:c>
      <x:c r="H655" s="19" t="n">
        <x:v>24</x:v>
      </x:c>
      <x:c r="I655" s="17" t="n">
        <x:v>0</x:v>
      </x:c>
      <x:c r="J655" s="19" t="n">
        <x:v>6</x:v>
      </x:c>
      <x:c r="K655" s="19" t="n">
        <x:f>E655*G655</x:f>
        <x:v>180</x:v>
      </x:c>
      <x:c r="L655" s="19" t="n">
        <x:f>K655*I655</x:f>
        <x:v>0</x:v>
      </x:c>
      <x:c r="M655" s="19" t="n">
        <x:f>(E655-F655)*G655*(1-I655)</x:f>
        <x:v>120</x:v>
      </x:c>
      <x:c r="N655" s="19" t="n">
        <x:f>(E655-F655)*H655</x:f>
        <x:v>48</x:v>
      </x:c>
      <x:c r="O655" s="19" t="n">
        <x:f>F655*J655</x:f>
        <x:v>6</x:v>
      </x:c>
      <x:c r="P655" s="19" t="n">
        <x:f>M655-N655-O655</x:f>
        <x:v>66</x:v>
      </x:c>
    </x:row>
    <x:row r="656">
      <x:c r="A656" s="15" t="str">
        <x:v>SIM-0652</x:v>
      </x:c>
      <x:c r="B656" s="15" t="str">
        <x:v>2026-03</x:v>
      </x:c>
      <x:c r="C656" s="15" t="str">
        <x:v>Calzado</x:v>
      </x:c>
      <x:c r="D656" s="15" t="str">
        <x:v>Online</x:v>
      </x:c>
      <x:c r="E656" s="15" t="n">
        <x:v>1</x:v>
      </x:c>
      <x:c r="F656" s="15" t="n">
        <x:v>0</x:v>
      </x:c>
      <x:c r="G656" s="19" t="n">
        <x:v>90</x:v>
      </x:c>
      <x:c r="H656" s="19" t="n">
        <x:v>42</x:v>
      </x:c>
      <x:c r="I656" s="17" t="n">
        <x:v>0.2</x:v>
      </x:c>
      <x:c r="J656" s="19" t="n">
        <x:v>6</x:v>
      </x:c>
      <x:c r="K656" s="19" t="n">
        <x:f>E656*G656</x:f>
        <x:v>90</x:v>
      </x:c>
      <x:c r="L656" s="19" t="n">
        <x:f>K656*I656</x:f>
        <x:v>18</x:v>
      </x:c>
      <x:c r="M656" s="19" t="n">
        <x:f>(E656-F656)*G656*(1-I656)</x:f>
        <x:v>72</x:v>
      </x:c>
      <x:c r="N656" s="19" t="n">
        <x:f>(E656-F656)*H656</x:f>
        <x:v>42</x:v>
      </x:c>
      <x:c r="O656" s="19" t="n">
        <x:f>F656*J656</x:f>
        <x:v>0</x:v>
      </x:c>
      <x:c r="P656" s="19" t="n">
        <x:f>M656-N656-O656</x:f>
        <x:v>30</x:v>
      </x:c>
    </x:row>
    <x:row r="657">
      <x:c r="A657" s="15" t="str">
        <x:v>SIM-0653</x:v>
      </x:c>
      <x:c r="B657" s="15" t="str">
        <x:v>2026-03</x:v>
      </x:c>
      <x:c r="C657" s="15" t="str">
        <x:v>Prendas</x:v>
      </x:c>
      <x:c r="D657" s="15" t="str">
        <x:v>Online</x:v>
      </x:c>
      <x:c r="E657" s="15" t="n">
        <x:v>1</x:v>
      </x:c>
      <x:c r="F657" s="15" t="n">
        <x:v>0</x:v>
      </x:c>
      <x:c r="G657" s="19" t="n">
        <x:v>60</x:v>
      </x:c>
      <x:c r="H657" s="19" t="n">
        <x:v>24</x:v>
      </x:c>
      <x:c r="I657" s="17" t="n">
        <x:v>0.1</x:v>
      </x:c>
      <x:c r="J657" s="19" t="n">
        <x:v>6</x:v>
      </x:c>
      <x:c r="K657" s="19" t="n">
        <x:f>E657*G657</x:f>
        <x:v>60</x:v>
      </x:c>
      <x:c r="L657" s="19" t="n">
        <x:f>K657*I657</x:f>
        <x:v>6</x:v>
      </x:c>
      <x:c r="M657" s="19" t="n">
        <x:f>(E657-F657)*G657*(1-I657)</x:f>
        <x:v>54</x:v>
      </x:c>
      <x:c r="N657" s="19" t="n">
        <x:f>(E657-F657)*H657</x:f>
        <x:v>24</x:v>
      </x:c>
      <x:c r="O657" s="19" t="n">
        <x:f>F657*J657</x:f>
        <x:v>0</x:v>
      </x:c>
      <x:c r="P657" s="19" t="n">
        <x:f>M657-N657-O657</x:f>
        <x:v>30</x:v>
      </x:c>
    </x:row>
    <x:row r="658">
      <x:c r="A658" s="15" t="str">
        <x:v>SIM-0654</x:v>
      </x:c>
      <x:c r="B658" s="15" t="str">
        <x:v>2026-03</x:v>
      </x:c>
      <x:c r="C658" s="15" t="str">
        <x:v>Prendas</x:v>
      </x:c>
      <x:c r="D658" s="15" t="str">
        <x:v>Online</x:v>
      </x:c>
      <x:c r="E658" s="15" t="n">
        <x:v>1</x:v>
      </x:c>
      <x:c r="F658" s="15" t="n">
        <x:v>0</x:v>
      </x:c>
      <x:c r="G658" s="19" t="n">
        <x:v>60</x:v>
      </x:c>
      <x:c r="H658" s="19" t="n">
        <x:v>24</x:v>
      </x:c>
      <x:c r="I658" s="17" t="n">
        <x:v>0</x:v>
      </x:c>
      <x:c r="J658" s="19" t="n">
        <x:v>6</x:v>
      </x:c>
      <x:c r="K658" s="19" t="n">
        <x:f>E658*G658</x:f>
        <x:v>60</x:v>
      </x:c>
      <x:c r="L658" s="19" t="n">
        <x:f>K658*I658</x:f>
        <x:v>0</x:v>
      </x:c>
      <x:c r="M658" s="19" t="n">
        <x:f>(E658-F658)*G658*(1-I658)</x:f>
        <x:v>60</x:v>
      </x:c>
      <x:c r="N658" s="19" t="n">
        <x:f>(E658-F658)*H658</x:f>
        <x:v>24</x:v>
      </x:c>
      <x:c r="O658" s="19" t="n">
        <x:f>F658*J658</x:f>
        <x:v>0</x:v>
      </x:c>
      <x:c r="P658" s="19" t="n">
        <x:f>M658-N658-O658</x:f>
        <x:v>36</x:v>
      </x:c>
    </x:row>
    <x:row r="659">
      <x:c r="A659" s="15" t="str">
        <x:v>SIM-0655</x:v>
      </x:c>
      <x:c r="B659" s="15" t="str">
        <x:v>2026-03</x:v>
      </x:c>
      <x:c r="C659" s="15" t="str">
        <x:v>Calzado</x:v>
      </x:c>
      <x:c r="D659" s="15" t="str">
        <x:v>Tienda</x:v>
      </x:c>
      <x:c r="E659" s="15" t="n">
        <x:v>1</x:v>
      </x:c>
      <x:c r="F659" s="15" t="n">
        <x:v>0</x:v>
      </x:c>
      <x:c r="G659" s="19" t="n">
        <x:v>90</x:v>
      </x:c>
      <x:c r="H659" s="19" t="n">
        <x:v>42</x:v>
      </x:c>
      <x:c r="I659" s="17" t="n">
        <x:v>0.2</x:v>
      </x:c>
      <x:c r="J659" s="19" t="n">
        <x:v>2</x:v>
      </x:c>
      <x:c r="K659" s="19" t="n">
        <x:f>E659*G659</x:f>
        <x:v>90</x:v>
      </x:c>
      <x:c r="L659" s="19" t="n">
        <x:f>K659*I659</x:f>
        <x:v>18</x:v>
      </x:c>
      <x:c r="M659" s="19" t="n">
        <x:f>(E659-F659)*G659*(1-I659)</x:f>
        <x:v>72</x:v>
      </x:c>
      <x:c r="N659" s="19" t="n">
        <x:f>(E659-F659)*H659</x:f>
        <x:v>42</x:v>
      </x:c>
      <x:c r="O659" s="19" t="n">
        <x:f>F659*J659</x:f>
        <x:v>0</x:v>
      </x:c>
      <x:c r="P659" s="19" t="n">
        <x:f>M659-N659-O659</x:f>
        <x:v>30</x:v>
      </x:c>
    </x:row>
    <x:row r="660">
      <x:c r="A660" s="15" t="str">
        <x:v>SIM-0656</x:v>
      </x:c>
      <x:c r="B660" s="15" t="str">
        <x:v>2026-03</x:v>
      </x:c>
      <x:c r="C660" s="15" t="str">
        <x:v>Prendas</x:v>
      </x:c>
      <x:c r="D660" s="15" t="str">
        <x:v>Tienda</x:v>
      </x:c>
      <x:c r="E660" s="15" t="n">
        <x:v>1</x:v>
      </x:c>
      <x:c r="F660" s="15" t="n">
        <x:v>0</x:v>
      </x:c>
      <x:c r="G660" s="19" t="n">
        <x:v>60</x:v>
      </x:c>
      <x:c r="H660" s="19" t="n">
        <x:v>24</x:v>
      </x:c>
      <x:c r="I660" s="17" t="n">
        <x:v>0</x:v>
      </x:c>
      <x:c r="J660" s="19" t="n">
        <x:v>2</x:v>
      </x:c>
      <x:c r="K660" s="19" t="n">
        <x:f>E660*G660</x:f>
        <x:v>60</x:v>
      </x:c>
      <x:c r="L660" s="19" t="n">
        <x:f>K660*I660</x:f>
        <x:v>0</x:v>
      </x:c>
      <x:c r="M660" s="19" t="n">
        <x:f>(E660-F660)*G660*(1-I660)</x:f>
        <x:v>60</x:v>
      </x:c>
      <x:c r="N660" s="19" t="n">
        <x:f>(E660-F660)*H660</x:f>
        <x:v>24</x:v>
      </x:c>
      <x:c r="O660" s="19" t="n">
        <x:f>F660*J660</x:f>
        <x:v>0</x:v>
      </x:c>
      <x:c r="P660" s="19" t="n">
        <x:f>M660-N660-O660</x:f>
        <x:v>36</x:v>
      </x:c>
    </x:row>
    <x:row r="661">
      <x:c r="A661" s="15" t="str">
        <x:v>SIM-0657</x:v>
      </x:c>
      <x:c r="B661" s="15" t="str">
        <x:v>2026-03</x:v>
      </x:c>
      <x:c r="C661" s="15" t="str">
        <x:v>Accesorios</x:v>
      </x:c>
      <x:c r="D661" s="15" t="str">
        <x:v>Tienda</x:v>
      </x:c>
      <x:c r="E661" s="15" t="n">
        <x:v>1</x:v>
      </x:c>
      <x:c r="F661" s="15" t="n">
        <x:v>0</x:v>
      </x:c>
      <x:c r="G661" s="19" t="n">
        <x:v>30</x:v>
      </x:c>
      <x:c r="H661" s="19" t="n">
        <x:v>9</x:v>
      </x:c>
      <x:c r="I661" s="17" t="n">
        <x:v>0.3</x:v>
      </x:c>
      <x:c r="J661" s="19" t="n">
        <x:v>2</x:v>
      </x:c>
      <x:c r="K661" s="19" t="n">
        <x:f>E661*G661</x:f>
        <x:v>30</x:v>
      </x:c>
      <x:c r="L661" s="19" t="n">
        <x:f>K661*I661</x:f>
        <x:v>9</x:v>
      </x:c>
      <x:c r="M661" s="19" t="n">
        <x:f>(E661-F661)*G661*(1-I661)</x:f>
        <x:v>21</x:v>
      </x:c>
      <x:c r="N661" s="19" t="n">
        <x:f>(E661-F661)*H661</x:f>
        <x:v>9</x:v>
      </x:c>
      <x:c r="O661" s="19" t="n">
        <x:f>F661*J661</x:f>
        <x:v>0</x:v>
      </x:c>
      <x:c r="P661" s="19" t="n">
        <x:f>M661-N661-O661</x:f>
        <x:v>12</x:v>
      </x:c>
    </x:row>
    <x:row r="662">
      <x:c r="A662" s="15" t="str">
        <x:v>SIM-0658</x:v>
      </x:c>
      <x:c r="B662" s="15" t="str">
        <x:v>2026-03</x:v>
      </x:c>
      <x:c r="C662" s="15" t="str">
        <x:v>Prendas</x:v>
      </x:c>
      <x:c r="D662" s="15" t="str">
        <x:v>Online</x:v>
      </x:c>
      <x:c r="E662" s="15" t="n">
        <x:v>3</x:v>
      </x:c>
      <x:c r="F662" s="15" t="n">
        <x:v>2</x:v>
      </x:c>
      <x:c r="G662" s="19" t="n">
        <x:v>60</x:v>
      </x:c>
      <x:c r="H662" s="19" t="n">
        <x:v>24</x:v>
      </x:c>
      <x:c r="I662" s="17" t="n">
        <x:v>0</x:v>
      </x:c>
      <x:c r="J662" s="19" t="n">
        <x:v>6</x:v>
      </x:c>
      <x:c r="K662" s="19" t="n">
        <x:f>E662*G662</x:f>
        <x:v>180</x:v>
      </x:c>
      <x:c r="L662" s="19" t="n">
        <x:f>K662*I662</x:f>
        <x:v>0</x:v>
      </x:c>
      <x:c r="M662" s="19" t="n">
        <x:f>(E662-F662)*G662*(1-I662)</x:f>
        <x:v>60</x:v>
      </x:c>
      <x:c r="N662" s="19" t="n">
        <x:f>(E662-F662)*H662</x:f>
        <x:v>24</x:v>
      </x:c>
      <x:c r="O662" s="19" t="n">
        <x:f>F662*J662</x:f>
        <x:v>12</x:v>
      </x:c>
      <x:c r="P662" s="19" t="n">
        <x:f>M662-N662-O662</x:f>
        <x:v>24</x:v>
      </x:c>
    </x:row>
    <x:row r="663">
      <x:c r="A663" s="15" t="str">
        <x:v>SIM-0659</x:v>
      </x:c>
      <x:c r="B663" s="15" t="str">
        <x:v>2026-03</x:v>
      </x:c>
      <x:c r="C663" s="15" t="str">
        <x:v>Calzado</x:v>
      </x:c>
      <x:c r="D663" s="15" t="str">
        <x:v>Tienda</x:v>
      </x:c>
      <x:c r="E663" s="15" t="n">
        <x:v>1</x:v>
      </x:c>
      <x:c r="F663" s="15" t="n">
        <x:v>0</x:v>
      </x:c>
      <x:c r="G663" s="19" t="n">
        <x:v>90</x:v>
      </x:c>
      <x:c r="H663" s="19" t="n">
        <x:v>42</x:v>
      </x:c>
      <x:c r="I663" s="17" t="n">
        <x:v>0.3</x:v>
      </x:c>
      <x:c r="J663" s="19" t="n">
        <x:v>2</x:v>
      </x:c>
      <x:c r="K663" s="19" t="n">
        <x:f>E663*G663</x:f>
        <x:v>90</x:v>
      </x:c>
      <x:c r="L663" s="19" t="n">
        <x:f>K663*I663</x:f>
        <x:v>27</x:v>
      </x:c>
      <x:c r="M663" s="19" t="n">
        <x:f>(E663-F663)*G663*(1-I663)</x:f>
        <x:v>62.99999999999999</x:v>
      </x:c>
      <x:c r="N663" s="19" t="n">
        <x:f>(E663-F663)*H663</x:f>
        <x:v>42</x:v>
      </x:c>
      <x:c r="O663" s="19" t="n">
        <x:f>F663*J663</x:f>
        <x:v>0</x:v>
      </x:c>
      <x:c r="P663" s="19" t="n">
        <x:f>M663-N663-O663</x:f>
        <x:v>20.999999999999993</x:v>
      </x:c>
    </x:row>
    <x:row r="664">
      <x:c r="A664" s="15" t="str">
        <x:v>SIM-0660</x:v>
      </x:c>
      <x:c r="B664" s="15" t="str">
        <x:v>2026-03</x:v>
      </x:c>
      <x:c r="C664" s="15" t="str">
        <x:v>Prendas</x:v>
      </x:c>
      <x:c r="D664" s="15" t="str">
        <x:v>Online</x:v>
      </x:c>
      <x:c r="E664" s="15" t="n">
        <x:v>1</x:v>
      </x:c>
      <x:c r="F664" s="15" t="n">
        <x:v>0</x:v>
      </x:c>
      <x:c r="G664" s="19" t="n">
        <x:v>60</x:v>
      </x:c>
      <x:c r="H664" s="19" t="n">
        <x:v>24</x:v>
      </x:c>
      <x:c r="I664" s="17" t="n">
        <x:v>0.2</x:v>
      </x:c>
      <x:c r="J664" s="19" t="n">
        <x:v>6</x:v>
      </x:c>
      <x:c r="K664" s="19" t="n">
        <x:f>E664*G664</x:f>
        <x:v>60</x:v>
      </x:c>
      <x:c r="L664" s="19" t="n">
        <x:f>K664*I664</x:f>
        <x:v>12</x:v>
      </x:c>
      <x:c r="M664" s="19" t="n">
        <x:f>(E664-F664)*G664*(1-I664)</x:f>
        <x:v>48</x:v>
      </x:c>
      <x:c r="N664" s="19" t="n">
        <x:f>(E664-F664)*H664</x:f>
        <x:v>24</x:v>
      </x:c>
      <x:c r="O664" s="19" t="n">
        <x:f>F664*J664</x:f>
        <x:v>0</x:v>
      </x:c>
      <x:c r="P664" s="19" t="n">
        <x:f>M664-N664-O664</x:f>
        <x:v>24</x:v>
      </x:c>
    </x:row>
    <x:row r="665">
      <x:c r="A665" s="15" t="str">
        <x:v>SIM-0661</x:v>
      </x:c>
      <x:c r="B665" s="15" t="str">
        <x:v>2026-04</x:v>
      </x:c>
      <x:c r="C665" s="15" t="str">
        <x:v>Calzado</x:v>
      </x:c>
      <x:c r="D665" s="15" t="str">
        <x:v>Tienda</x:v>
      </x:c>
      <x:c r="E665" s="15" t="n">
        <x:v>1</x:v>
      </x:c>
      <x:c r="F665" s="15" t="n">
        <x:v>0</x:v>
      </x:c>
      <x:c r="G665" s="19" t="n">
        <x:v>90</x:v>
      </x:c>
      <x:c r="H665" s="19" t="n">
        <x:v>42</x:v>
      </x:c>
      <x:c r="I665" s="17" t="n">
        <x:v>0</x:v>
      </x:c>
      <x:c r="J665" s="19" t="n">
        <x:v>2</x:v>
      </x:c>
      <x:c r="K665" s="19" t="n">
        <x:f>E665*G665</x:f>
        <x:v>90</x:v>
      </x:c>
      <x:c r="L665" s="19" t="n">
        <x:f>K665*I665</x:f>
        <x:v>0</x:v>
      </x:c>
      <x:c r="M665" s="19" t="n">
        <x:f>(E665-F665)*G665*(1-I665)</x:f>
        <x:v>90</x:v>
      </x:c>
      <x:c r="N665" s="19" t="n">
        <x:f>(E665-F665)*H665</x:f>
        <x:v>42</x:v>
      </x:c>
      <x:c r="O665" s="19" t="n">
        <x:f>F665*J665</x:f>
        <x:v>0</x:v>
      </x:c>
      <x:c r="P665" s="19" t="n">
        <x:f>M665-N665-O665</x:f>
        <x:v>48</x:v>
      </x:c>
    </x:row>
    <x:row r="666">
      <x:c r="A666" s="15" t="str">
        <x:v>SIM-0662</x:v>
      </x:c>
      <x:c r="B666" s="15" t="str">
        <x:v>2026-04</x:v>
      </x:c>
      <x:c r="C666" s="15" t="str">
        <x:v>Prendas</x:v>
      </x:c>
      <x:c r="D666" s="15" t="str">
        <x:v>Online</x:v>
      </x:c>
      <x:c r="E666" s="15" t="n">
        <x:v>1</x:v>
      </x:c>
      <x:c r="F666" s="15" t="n">
        <x:v>1</x:v>
      </x:c>
      <x:c r="G666" s="19" t="n">
        <x:v>60</x:v>
      </x:c>
      <x:c r="H666" s="19" t="n">
        <x:v>24</x:v>
      </x:c>
      <x:c r="I666" s="17" t="n">
        <x:v>0</x:v>
      </x:c>
      <x:c r="J666" s="19" t="n">
        <x:v>6</x:v>
      </x:c>
      <x:c r="K666" s="19" t="n">
        <x:f>E666*G666</x:f>
        <x:v>60</x:v>
      </x:c>
      <x:c r="L666" s="19" t="n">
        <x:f>K666*I666</x:f>
        <x:v>0</x:v>
      </x:c>
      <x:c r="M666" s="19" t="n">
        <x:f>(E666-F666)*G666*(1-I666)</x:f>
        <x:v>0</x:v>
      </x:c>
      <x:c r="N666" s="19" t="n">
        <x:f>(E666-F666)*H666</x:f>
        <x:v>0</x:v>
      </x:c>
      <x:c r="O666" s="19" t="n">
        <x:f>F666*J666</x:f>
        <x:v>6</x:v>
      </x:c>
      <x:c r="P666" s="19" t="n">
        <x:f>M666-N666-O666</x:f>
        <x:v>-6</x:v>
      </x:c>
    </x:row>
    <x:row r="667">
      <x:c r="A667" s="15" t="str">
        <x:v>SIM-0663</x:v>
      </x:c>
      <x:c r="B667" s="15" t="str">
        <x:v>2026-04</x:v>
      </x:c>
      <x:c r="C667" s="15" t="str">
        <x:v>Calzado</x:v>
      </x:c>
      <x:c r="D667" s="15" t="str">
        <x:v>Tienda</x:v>
      </x:c>
      <x:c r="E667" s="15" t="n">
        <x:v>2</x:v>
      </x:c>
      <x:c r="F667" s="15" t="n">
        <x:v>0</x:v>
      </x:c>
      <x:c r="G667" s="19" t="n">
        <x:v>90</x:v>
      </x:c>
      <x:c r="H667" s="19" t="n">
        <x:v>42</x:v>
      </x:c>
      <x:c r="I667" s="17" t="n">
        <x:v>0.3</x:v>
      </x:c>
      <x:c r="J667" s="19" t="n">
        <x:v>2</x:v>
      </x:c>
      <x:c r="K667" s="19" t="n">
        <x:f>E667*G667</x:f>
        <x:v>180</x:v>
      </x:c>
      <x:c r="L667" s="19" t="n">
        <x:f>K667*I667</x:f>
        <x:v>54</x:v>
      </x:c>
      <x:c r="M667" s="19" t="n">
        <x:f>(E667-F667)*G667*(1-I667)</x:f>
        <x:v>125.99999999999999</x:v>
      </x:c>
      <x:c r="N667" s="19" t="n">
        <x:f>(E667-F667)*H667</x:f>
        <x:v>84</x:v>
      </x:c>
      <x:c r="O667" s="19" t="n">
        <x:f>F667*J667</x:f>
        <x:v>0</x:v>
      </x:c>
      <x:c r="P667" s="19" t="n">
        <x:f>M667-N667-O667</x:f>
        <x:v>41.999999999999986</x:v>
      </x:c>
    </x:row>
    <x:row r="668">
      <x:c r="A668" s="15" t="str">
        <x:v>SIM-0664</x:v>
      </x:c>
      <x:c r="B668" s="15" t="str">
        <x:v>2026-04</x:v>
      </x:c>
      <x:c r="C668" s="15" t="str">
        <x:v>Prendas</x:v>
      </x:c>
      <x:c r="D668" s="15" t="str">
        <x:v>Tienda</x:v>
      </x:c>
      <x:c r="E668" s="15" t="n">
        <x:v>1</x:v>
      </x:c>
      <x:c r="F668" s="15" t="n">
        <x:v>0</x:v>
      </x:c>
      <x:c r="G668" s="19" t="n">
        <x:v>60</x:v>
      </x:c>
      <x:c r="H668" s="19" t="n">
        <x:v>24</x:v>
      </x:c>
      <x:c r="I668" s="17" t="n">
        <x:v>0</x:v>
      </x:c>
      <x:c r="J668" s="19" t="n">
        <x:v>2</x:v>
      </x:c>
      <x:c r="K668" s="19" t="n">
        <x:f>E668*G668</x:f>
        <x:v>60</x:v>
      </x:c>
      <x:c r="L668" s="19" t="n">
        <x:f>K668*I668</x:f>
        <x:v>0</x:v>
      </x:c>
      <x:c r="M668" s="19" t="n">
        <x:f>(E668-F668)*G668*(1-I668)</x:f>
        <x:v>60</x:v>
      </x:c>
      <x:c r="N668" s="19" t="n">
        <x:f>(E668-F668)*H668</x:f>
        <x:v>24</x:v>
      </x:c>
      <x:c r="O668" s="19" t="n">
        <x:f>F668*J668</x:f>
        <x:v>0</x:v>
      </x:c>
      <x:c r="P668" s="19" t="n">
        <x:f>M668-N668-O668</x:f>
        <x:v>36</x:v>
      </x:c>
    </x:row>
    <x:row r="669">
      <x:c r="A669" s="15" t="str">
        <x:v>SIM-0665</x:v>
      </x:c>
      <x:c r="B669" s="15" t="str">
        <x:v>2026-04</x:v>
      </x:c>
      <x:c r="C669" s="15" t="str">
        <x:v>Calzado</x:v>
      </x:c>
      <x:c r="D669" s="15" t="str">
        <x:v>Tienda</x:v>
      </x:c>
      <x:c r="E669" s="15" t="n">
        <x:v>2</x:v>
      </x:c>
      <x:c r="F669" s="15" t="n">
        <x:v>0</x:v>
      </x:c>
      <x:c r="G669" s="19" t="n">
        <x:v>90</x:v>
      </x:c>
      <x:c r="H669" s="19" t="n">
        <x:v>42</x:v>
      </x:c>
      <x:c r="I669" s="17" t="n">
        <x:v>0</x:v>
      </x:c>
      <x:c r="J669" s="19" t="n">
        <x:v>2</x:v>
      </x:c>
      <x:c r="K669" s="19" t="n">
        <x:f>E669*G669</x:f>
        <x:v>180</x:v>
      </x:c>
      <x:c r="L669" s="19" t="n">
        <x:f>K669*I669</x:f>
        <x:v>0</x:v>
      </x:c>
      <x:c r="M669" s="19" t="n">
        <x:f>(E669-F669)*G669*(1-I669)</x:f>
        <x:v>180</x:v>
      </x:c>
      <x:c r="N669" s="19" t="n">
        <x:f>(E669-F669)*H669</x:f>
        <x:v>84</x:v>
      </x:c>
      <x:c r="O669" s="19" t="n">
        <x:f>F669*J669</x:f>
        <x:v>0</x:v>
      </x:c>
      <x:c r="P669" s="19" t="n">
        <x:f>M669-N669-O669</x:f>
        <x:v>96</x:v>
      </x:c>
    </x:row>
    <x:row r="670">
      <x:c r="A670" s="15" t="str">
        <x:v>SIM-0666</x:v>
      </x:c>
      <x:c r="B670" s="15" t="str">
        <x:v>2026-04</x:v>
      </x:c>
      <x:c r="C670" s="15" t="str">
        <x:v>Accesorios</x:v>
      </x:c>
      <x:c r="D670" s="15" t="str">
        <x:v>Online</x:v>
      </x:c>
      <x:c r="E670" s="15" t="n">
        <x:v>1</x:v>
      </x:c>
      <x:c r="F670" s="15" t="n">
        <x:v>0</x:v>
      </x:c>
      <x:c r="G670" s="19" t="n">
        <x:v>30</x:v>
      </x:c>
      <x:c r="H670" s="19" t="n">
        <x:v>9</x:v>
      </x:c>
      <x:c r="I670" s="17" t="n">
        <x:v>0.1</x:v>
      </x:c>
      <x:c r="J670" s="19" t="n">
        <x:v>6</x:v>
      </x:c>
      <x:c r="K670" s="19" t="n">
        <x:f>E670*G670</x:f>
        <x:v>30</x:v>
      </x:c>
      <x:c r="L670" s="19" t="n">
        <x:f>K670*I670</x:f>
        <x:v>3</x:v>
      </x:c>
      <x:c r="M670" s="19" t="n">
        <x:f>(E670-F670)*G670*(1-I670)</x:f>
        <x:v>27</x:v>
      </x:c>
      <x:c r="N670" s="19" t="n">
        <x:f>(E670-F670)*H670</x:f>
        <x:v>9</x:v>
      </x:c>
      <x:c r="O670" s="19" t="n">
        <x:f>F670*J670</x:f>
        <x:v>0</x:v>
      </x:c>
      <x:c r="P670" s="19" t="n">
        <x:f>M670-N670-O670</x:f>
        <x:v>18</x:v>
      </x:c>
    </x:row>
    <x:row r="671">
      <x:c r="A671" s="15" t="str">
        <x:v>SIM-0667</x:v>
      </x:c>
      <x:c r="B671" s="15" t="str">
        <x:v>2026-04</x:v>
      </x:c>
      <x:c r="C671" s="15" t="str">
        <x:v>Calzado</x:v>
      </x:c>
      <x:c r="D671" s="15" t="str">
        <x:v>Online</x:v>
      </x:c>
      <x:c r="E671" s="15" t="n">
        <x:v>1</x:v>
      </x:c>
      <x:c r="F671" s="15" t="n">
        <x:v>0</x:v>
      </x:c>
      <x:c r="G671" s="19" t="n">
        <x:v>90</x:v>
      </x:c>
      <x:c r="H671" s="19" t="n">
        <x:v>42</x:v>
      </x:c>
      <x:c r="I671" s="17" t="n">
        <x:v>0</x:v>
      </x:c>
      <x:c r="J671" s="19" t="n">
        <x:v>6</x:v>
      </x:c>
      <x:c r="K671" s="19" t="n">
        <x:f>E671*G671</x:f>
        <x:v>90</x:v>
      </x:c>
      <x:c r="L671" s="19" t="n">
        <x:f>K671*I671</x:f>
        <x:v>0</x:v>
      </x:c>
      <x:c r="M671" s="19" t="n">
        <x:f>(E671-F671)*G671*(1-I671)</x:f>
        <x:v>90</x:v>
      </x:c>
      <x:c r="N671" s="19" t="n">
        <x:f>(E671-F671)*H671</x:f>
        <x:v>42</x:v>
      </x:c>
      <x:c r="O671" s="19" t="n">
        <x:f>F671*J671</x:f>
        <x:v>0</x:v>
      </x:c>
      <x:c r="P671" s="19" t="n">
        <x:f>M671-N671-O671</x:f>
        <x:v>48</x:v>
      </x:c>
    </x:row>
    <x:row r="672">
      <x:c r="A672" s="15" t="str">
        <x:v>SIM-0668</x:v>
      </x:c>
      <x:c r="B672" s="15" t="str">
        <x:v>2026-04</x:v>
      </x:c>
      <x:c r="C672" s="15" t="str">
        <x:v>Accesorios</x:v>
      </x:c>
      <x:c r="D672" s="15" t="str">
        <x:v>Online</x:v>
      </x:c>
      <x:c r="E672" s="15" t="n">
        <x:v>1</x:v>
      </x:c>
      <x:c r="F672" s="15" t="n">
        <x:v>0</x:v>
      </x:c>
      <x:c r="G672" s="19" t="n">
        <x:v>30</x:v>
      </x:c>
      <x:c r="H672" s="19" t="n">
        <x:v>9</x:v>
      </x:c>
      <x:c r="I672" s="17" t="n">
        <x:v>0.1</x:v>
      </x:c>
      <x:c r="J672" s="19" t="n">
        <x:v>6</x:v>
      </x:c>
      <x:c r="K672" s="19" t="n">
        <x:f>E672*G672</x:f>
        <x:v>30</x:v>
      </x:c>
      <x:c r="L672" s="19" t="n">
        <x:f>K672*I672</x:f>
        <x:v>3</x:v>
      </x:c>
      <x:c r="M672" s="19" t="n">
        <x:f>(E672-F672)*G672*(1-I672)</x:f>
        <x:v>27</x:v>
      </x:c>
      <x:c r="N672" s="19" t="n">
        <x:f>(E672-F672)*H672</x:f>
        <x:v>9</x:v>
      </x:c>
      <x:c r="O672" s="19" t="n">
        <x:f>F672*J672</x:f>
        <x:v>0</x:v>
      </x:c>
      <x:c r="P672" s="19" t="n">
        <x:f>M672-N672-O672</x:f>
        <x:v>18</x:v>
      </x:c>
    </x:row>
    <x:row r="673">
      <x:c r="A673" s="15" t="str">
        <x:v>SIM-0669</x:v>
      </x:c>
      <x:c r="B673" s="15" t="str">
        <x:v>2026-04</x:v>
      </x:c>
      <x:c r="C673" s="15" t="str">
        <x:v>Calzado</x:v>
      </x:c>
      <x:c r="D673" s="15" t="str">
        <x:v>Tienda</x:v>
      </x:c>
      <x:c r="E673" s="15" t="n">
        <x:v>1</x:v>
      </x:c>
      <x:c r="F673" s="15" t="n">
        <x:v>0</x:v>
      </x:c>
      <x:c r="G673" s="19" t="n">
        <x:v>90</x:v>
      </x:c>
      <x:c r="H673" s="19" t="n">
        <x:v>42</x:v>
      </x:c>
      <x:c r="I673" s="17" t="n">
        <x:v>0</x:v>
      </x:c>
      <x:c r="J673" s="19" t="n">
        <x:v>2</x:v>
      </x:c>
      <x:c r="K673" s="19" t="n">
        <x:f>E673*G673</x:f>
        <x:v>90</x:v>
      </x:c>
      <x:c r="L673" s="19" t="n">
        <x:f>K673*I673</x:f>
        <x:v>0</x:v>
      </x:c>
      <x:c r="M673" s="19" t="n">
        <x:f>(E673-F673)*G673*(1-I673)</x:f>
        <x:v>90</x:v>
      </x:c>
      <x:c r="N673" s="19" t="n">
        <x:f>(E673-F673)*H673</x:f>
        <x:v>42</x:v>
      </x:c>
      <x:c r="O673" s="19" t="n">
        <x:f>F673*J673</x:f>
        <x:v>0</x:v>
      </x:c>
      <x:c r="P673" s="19" t="n">
        <x:f>M673-N673-O673</x:f>
        <x:v>48</x:v>
      </x:c>
    </x:row>
    <x:row r="674">
      <x:c r="A674" s="15" t="str">
        <x:v>SIM-0670</x:v>
      </x:c>
      <x:c r="B674" s="15" t="str">
        <x:v>2026-04</x:v>
      </x:c>
      <x:c r="C674" s="15" t="str">
        <x:v>Accesorios</x:v>
      </x:c>
      <x:c r="D674" s="15" t="str">
        <x:v>Online</x:v>
      </x:c>
      <x:c r="E674" s="15" t="n">
        <x:v>1</x:v>
      </x:c>
      <x:c r="F674" s="15" t="n">
        <x:v>0</x:v>
      </x:c>
      <x:c r="G674" s="19" t="n">
        <x:v>30</x:v>
      </x:c>
      <x:c r="H674" s="19" t="n">
        <x:v>9</x:v>
      </x:c>
      <x:c r="I674" s="17" t="n">
        <x:v>0</x:v>
      </x:c>
      <x:c r="J674" s="19" t="n">
        <x:v>6</x:v>
      </x:c>
      <x:c r="K674" s="19" t="n">
        <x:f>E674*G674</x:f>
        <x:v>30</x:v>
      </x:c>
      <x:c r="L674" s="19" t="n">
        <x:f>K674*I674</x:f>
        <x:v>0</x:v>
      </x:c>
      <x:c r="M674" s="19" t="n">
        <x:f>(E674-F674)*G674*(1-I674)</x:f>
        <x:v>30</x:v>
      </x:c>
      <x:c r="N674" s="19" t="n">
        <x:f>(E674-F674)*H674</x:f>
        <x:v>9</x:v>
      </x:c>
      <x:c r="O674" s="19" t="n">
        <x:f>F674*J674</x:f>
        <x:v>0</x:v>
      </x:c>
      <x:c r="P674" s="19" t="n">
        <x:f>M674-N674-O674</x:f>
        <x:v>21</x:v>
      </x:c>
    </x:row>
    <x:row r="675">
      <x:c r="A675" s="15" t="str">
        <x:v>SIM-0671</x:v>
      </x:c>
      <x:c r="B675" s="15" t="str">
        <x:v>2026-04</x:v>
      </x:c>
      <x:c r="C675" s="15" t="str">
        <x:v>Prendas</x:v>
      </x:c>
      <x:c r="D675" s="15" t="str">
        <x:v>Tienda</x:v>
      </x:c>
      <x:c r="E675" s="15" t="n">
        <x:v>1</x:v>
      </x:c>
      <x:c r="F675" s="15" t="n">
        <x:v>1</x:v>
      </x:c>
      <x:c r="G675" s="19" t="n">
        <x:v>60</x:v>
      </x:c>
      <x:c r="H675" s="19" t="n">
        <x:v>24</x:v>
      </x:c>
      <x:c r="I675" s="17" t="n">
        <x:v>0.2</x:v>
      </x:c>
      <x:c r="J675" s="19" t="n">
        <x:v>2</x:v>
      </x:c>
      <x:c r="K675" s="19" t="n">
        <x:f>E675*G675</x:f>
        <x:v>60</x:v>
      </x:c>
      <x:c r="L675" s="19" t="n">
        <x:f>K675*I675</x:f>
        <x:v>12</x:v>
      </x:c>
      <x:c r="M675" s="19" t="n">
        <x:f>(E675-F675)*G675*(1-I675)</x:f>
        <x:v>0</x:v>
      </x:c>
      <x:c r="N675" s="19" t="n">
        <x:f>(E675-F675)*H675</x:f>
        <x:v>0</x:v>
      </x:c>
      <x:c r="O675" s="19" t="n">
        <x:f>F675*J675</x:f>
        <x:v>2</x:v>
      </x:c>
      <x:c r="P675" s="19" t="n">
        <x:f>M675-N675-O675</x:f>
        <x:v>-2</x:v>
      </x:c>
    </x:row>
    <x:row r="676">
      <x:c r="A676" s="15" t="str">
        <x:v>SIM-0672</x:v>
      </x:c>
      <x:c r="B676" s="15" t="str">
        <x:v>2026-04</x:v>
      </x:c>
      <x:c r="C676" s="15" t="str">
        <x:v>Calzado</x:v>
      </x:c>
      <x:c r="D676" s="15" t="str">
        <x:v>Tienda</x:v>
      </x:c>
      <x:c r="E676" s="15" t="n">
        <x:v>3</x:v>
      </x:c>
      <x:c r="F676" s="15" t="n">
        <x:v>0</x:v>
      </x:c>
      <x:c r="G676" s="19" t="n">
        <x:v>90</x:v>
      </x:c>
      <x:c r="H676" s="19" t="n">
        <x:v>42</x:v>
      </x:c>
      <x:c r="I676" s="17" t="n">
        <x:v>0.3</x:v>
      </x:c>
      <x:c r="J676" s="19" t="n">
        <x:v>2</x:v>
      </x:c>
      <x:c r="K676" s="19" t="n">
        <x:f>E676*G676</x:f>
        <x:v>270</x:v>
      </x:c>
      <x:c r="L676" s="19" t="n">
        <x:f>K676*I676</x:f>
        <x:v>81</x:v>
      </x:c>
      <x:c r="M676" s="19" t="n">
        <x:f>(E676-F676)*G676*(1-I676)</x:f>
        <x:v>189</x:v>
      </x:c>
      <x:c r="N676" s="19" t="n">
        <x:f>(E676-F676)*H676</x:f>
        <x:v>126</x:v>
      </x:c>
      <x:c r="O676" s="19" t="n">
        <x:f>F676*J676</x:f>
        <x:v>0</x:v>
      </x:c>
      <x:c r="P676" s="19" t="n">
        <x:f>M676-N676-O676</x:f>
        <x:v>63</x:v>
      </x:c>
    </x:row>
    <x:row r="677">
      <x:c r="A677" s="15" t="str">
        <x:v>SIM-0673</x:v>
      </x:c>
      <x:c r="B677" s="15" t="str">
        <x:v>2026-04</x:v>
      </x:c>
      <x:c r="C677" s="15" t="str">
        <x:v>Prendas</x:v>
      </x:c>
      <x:c r="D677" s="15" t="str">
        <x:v>Online</x:v>
      </x:c>
      <x:c r="E677" s="15" t="n">
        <x:v>1</x:v>
      </x:c>
      <x:c r="F677" s="15" t="n">
        <x:v>0</x:v>
      </x:c>
      <x:c r="G677" s="19" t="n">
        <x:v>60</x:v>
      </x:c>
      <x:c r="H677" s="19" t="n">
        <x:v>24</x:v>
      </x:c>
      <x:c r="I677" s="17" t="n">
        <x:v>0.1</x:v>
      </x:c>
      <x:c r="J677" s="19" t="n">
        <x:v>6</x:v>
      </x:c>
      <x:c r="K677" s="19" t="n">
        <x:f>E677*G677</x:f>
        <x:v>60</x:v>
      </x:c>
      <x:c r="L677" s="19" t="n">
        <x:f>K677*I677</x:f>
        <x:v>6</x:v>
      </x:c>
      <x:c r="M677" s="19" t="n">
        <x:f>(E677-F677)*G677*(1-I677)</x:f>
        <x:v>54</x:v>
      </x:c>
      <x:c r="N677" s="19" t="n">
        <x:f>(E677-F677)*H677</x:f>
        <x:v>24</x:v>
      </x:c>
      <x:c r="O677" s="19" t="n">
        <x:f>F677*J677</x:f>
        <x:v>0</x:v>
      </x:c>
      <x:c r="P677" s="19" t="n">
        <x:f>M677-N677-O677</x:f>
        <x:v>30</x:v>
      </x:c>
    </x:row>
    <x:row r="678">
      <x:c r="A678" s="15" t="str">
        <x:v>SIM-0674</x:v>
      </x:c>
      <x:c r="B678" s="15" t="str">
        <x:v>2026-04</x:v>
      </x:c>
      <x:c r="C678" s="15" t="str">
        <x:v>Prendas</x:v>
      </x:c>
      <x:c r="D678" s="15" t="str">
        <x:v>Online</x:v>
      </x:c>
      <x:c r="E678" s="15" t="n">
        <x:v>3</x:v>
      </x:c>
      <x:c r="F678" s="15" t="n">
        <x:v>0</x:v>
      </x:c>
      <x:c r="G678" s="19" t="n">
        <x:v>60</x:v>
      </x:c>
      <x:c r="H678" s="19" t="n">
        <x:v>24</x:v>
      </x:c>
      <x:c r="I678" s="17" t="n">
        <x:v>0</x:v>
      </x:c>
      <x:c r="J678" s="19" t="n">
        <x:v>6</x:v>
      </x:c>
      <x:c r="K678" s="19" t="n">
        <x:f>E678*G678</x:f>
        <x:v>180</x:v>
      </x:c>
      <x:c r="L678" s="19" t="n">
        <x:f>K678*I678</x:f>
        <x:v>0</x:v>
      </x:c>
      <x:c r="M678" s="19" t="n">
        <x:f>(E678-F678)*G678*(1-I678)</x:f>
        <x:v>180</x:v>
      </x:c>
      <x:c r="N678" s="19" t="n">
        <x:f>(E678-F678)*H678</x:f>
        <x:v>72</x:v>
      </x:c>
      <x:c r="O678" s="19" t="n">
        <x:f>F678*J678</x:f>
        <x:v>0</x:v>
      </x:c>
      <x:c r="P678" s="19" t="n">
        <x:f>M678-N678-O678</x:f>
        <x:v>108</x:v>
      </x:c>
    </x:row>
    <x:row r="679">
      <x:c r="A679" s="15" t="str">
        <x:v>SIM-0675</x:v>
      </x:c>
      <x:c r="B679" s="15" t="str">
        <x:v>2026-04</x:v>
      </x:c>
      <x:c r="C679" s="15" t="str">
        <x:v>Accesorios</x:v>
      </x:c>
      <x:c r="D679" s="15" t="str">
        <x:v>Tienda</x:v>
      </x:c>
      <x:c r="E679" s="15" t="n">
        <x:v>1</x:v>
      </x:c>
      <x:c r="F679" s="15" t="n">
        <x:v>0</x:v>
      </x:c>
      <x:c r="G679" s="19" t="n">
        <x:v>30</x:v>
      </x:c>
      <x:c r="H679" s="19" t="n">
        <x:v>9</x:v>
      </x:c>
      <x:c r="I679" s="17" t="n">
        <x:v>0.1</x:v>
      </x:c>
      <x:c r="J679" s="19" t="n">
        <x:v>2</x:v>
      </x:c>
      <x:c r="K679" s="19" t="n">
        <x:f>E679*G679</x:f>
        <x:v>30</x:v>
      </x:c>
      <x:c r="L679" s="19" t="n">
        <x:f>K679*I679</x:f>
        <x:v>3</x:v>
      </x:c>
      <x:c r="M679" s="19" t="n">
        <x:f>(E679-F679)*G679*(1-I679)</x:f>
        <x:v>27</x:v>
      </x:c>
      <x:c r="N679" s="19" t="n">
        <x:f>(E679-F679)*H679</x:f>
        <x:v>9</x:v>
      </x:c>
      <x:c r="O679" s="19" t="n">
        <x:f>F679*J679</x:f>
        <x:v>0</x:v>
      </x:c>
      <x:c r="P679" s="19" t="n">
        <x:f>M679-N679-O679</x:f>
        <x:v>18</x:v>
      </x:c>
    </x:row>
    <x:row r="680">
      <x:c r="A680" s="15" t="str">
        <x:v>SIM-0676</x:v>
      </x:c>
      <x:c r="B680" s="15" t="str">
        <x:v>2026-04</x:v>
      </x:c>
      <x:c r="C680" s="15" t="str">
        <x:v>Accesorios</x:v>
      </x:c>
      <x:c r="D680" s="15" t="str">
        <x:v>Tienda</x:v>
      </x:c>
      <x:c r="E680" s="15" t="n">
        <x:v>3</x:v>
      </x:c>
      <x:c r="F680" s="15" t="n">
        <x:v>1</x:v>
      </x:c>
      <x:c r="G680" s="19" t="n">
        <x:v>30</x:v>
      </x:c>
      <x:c r="H680" s="19" t="n">
        <x:v>9</x:v>
      </x:c>
      <x:c r="I680" s="17" t="n">
        <x:v>0</x:v>
      </x:c>
      <x:c r="J680" s="19" t="n">
        <x:v>2</x:v>
      </x:c>
      <x:c r="K680" s="19" t="n">
        <x:f>E680*G680</x:f>
        <x:v>90</x:v>
      </x:c>
      <x:c r="L680" s="19" t="n">
        <x:f>K680*I680</x:f>
        <x:v>0</x:v>
      </x:c>
      <x:c r="M680" s="19" t="n">
        <x:f>(E680-F680)*G680*(1-I680)</x:f>
        <x:v>60</x:v>
      </x:c>
      <x:c r="N680" s="19" t="n">
        <x:f>(E680-F680)*H680</x:f>
        <x:v>18</x:v>
      </x:c>
      <x:c r="O680" s="19" t="n">
        <x:f>F680*J680</x:f>
        <x:v>2</x:v>
      </x:c>
      <x:c r="P680" s="19" t="n">
        <x:f>M680-N680-O680</x:f>
        <x:v>40</x:v>
      </x:c>
    </x:row>
    <x:row r="681">
      <x:c r="A681" s="15" t="str">
        <x:v>SIM-0677</x:v>
      </x:c>
      <x:c r="B681" s="15" t="str">
        <x:v>2026-04</x:v>
      </x:c>
      <x:c r="C681" s="15" t="str">
        <x:v>Prendas</x:v>
      </x:c>
      <x:c r="D681" s="15" t="str">
        <x:v>Online</x:v>
      </x:c>
      <x:c r="E681" s="15" t="n">
        <x:v>2</x:v>
      </x:c>
      <x:c r="F681" s="15" t="n">
        <x:v>1</x:v>
      </x:c>
      <x:c r="G681" s="19" t="n">
        <x:v>60</x:v>
      </x:c>
      <x:c r="H681" s="19" t="n">
        <x:v>24</x:v>
      </x:c>
      <x:c r="I681" s="17" t="n">
        <x:v>0.3</x:v>
      </x:c>
      <x:c r="J681" s="19" t="n">
        <x:v>6</x:v>
      </x:c>
      <x:c r="K681" s="19" t="n">
        <x:f>E681*G681</x:f>
        <x:v>120</x:v>
      </x:c>
      <x:c r="L681" s="19" t="n">
        <x:f>K681*I681</x:f>
        <x:v>36</x:v>
      </x:c>
      <x:c r="M681" s="19" t="n">
        <x:f>(E681-F681)*G681*(1-I681)</x:f>
        <x:v>42</x:v>
      </x:c>
      <x:c r="N681" s="19" t="n">
        <x:f>(E681-F681)*H681</x:f>
        <x:v>24</x:v>
      </x:c>
      <x:c r="O681" s="19" t="n">
        <x:f>F681*J681</x:f>
        <x:v>6</x:v>
      </x:c>
      <x:c r="P681" s="19" t="n">
        <x:f>M681-N681-O681</x:f>
        <x:v>12</x:v>
      </x:c>
    </x:row>
    <x:row r="682">
      <x:c r="A682" s="15" t="str">
        <x:v>SIM-0678</x:v>
      </x:c>
      <x:c r="B682" s="15" t="str">
        <x:v>2026-04</x:v>
      </x:c>
      <x:c r="C682" s="15" t="str">
        <x:v>Prendas</x:v>
      </x:c>
      <x:c r="D682" s="15" t="str">
        <x:v>Online</x:v>
      </x:c>
      <x:c r="E682" s="15" t="n">
        <x:v>1</x:v>
      </x:c>
      <x:c r="F682" s="15" t="n">
        <x:v>0</x:v>
      </x:c>
      <x:c r="G682" s="19" t="n">
        <x:v>60</x:v>
      </x:c>
      <x:c r="H682" s="19" t="n">
        <x:v>24</x:v>
      </x:c>
      <x:c r="I682" s="17" t="n">
        <x:v>0.1</x:v>
      </x:c>
      <x:c r="J682" s="19" t="n">
        <x:v>6</x:v>
      </x:c>
      <x:c r="K682" s="19" t="n">
        <x:f>E682*G682</x:f>
        <x:v>60</x:v>
      </x:c>
      <x:c r="L682" s="19" t="n">
        <x:f>K682*I682</x:f>
        <x:v>6</x:v>
      </x:c>
      <x:c r="M682" s="19" t="n">
        <x:f>(E682-F682)*G682*(1-I682)</x:f>
        <x:v>54</x:v>
      </x:c>
      <x:c r="N682" s="19" t="n">
        <x:f>(E682-F682)*H682</x:f>
        <x:v>24</x:v>
      </x:c>
      <x:c r="O682" s="19" t="n">
        <x:f>F682*J682</x:f>
        <x:v>0</x:v>
      </x:c>
      <x:c r="P682" s="19" t="n">
        <x:f>M682-N682-O682</x:f>
        <x:v>30</x:v>
      </x:c>
    </x:row>
    <x:row r="683">
      <x:c r="A683" s="15" t="str">
        <x:v>SIM-0679</x:v>
      </x:c>
      <x:c r="B683" s="15" t="str">
        <x:v>2026-04</x:v>
      </x:c>
      <x:c r="C683" s="15" t="str">
        <x:v>Calzado</x:v>
      </x:c>
      <x:c r="D683" s="15" t="str">
        <x:v>Tienda</x:v>
      </x:c>
      <x:c r="E683" s="15" t="n">
        <x:v>2</x:v>
      </x:c>
      <x:c r="F683" s="15" t="n">
        <x:v>0</x:v>
      </x:c>
      <x:c r="G683" s="19" t="n">
        <x:v>90</x:v>
      </x:c>
      <x:c r="H683" s="19" t="n">
        <x:v>42</x:v>
      </x:c>
      <x:c r="I683" s="17" t="n">
        <x:v>0.2</x:v>
      </x:c>
      <x:c r="J683" s="19" t="n">
        <x:v>2</x:v>
      </x:c>
      <x:c r="K683" s="19" t="n">
        <x:f>E683*G683</x:f>
        <x:v>180</x:v>
      </x:c>
      <x:c r="L683" s="19" t="n">
        <x:f>K683*I683</x:f>
        <x:v>36</x:v>
      </x:c>
      <x:c r="M683" s="19" t="n">
        <x:f>(E683-F683)*G683*(1-I683)</x:f>
        <x:v>144</x:v>
      </x:c>
      <x:c r="N683" s="19" t="n">
        <x:f>(E683-F683)*H683</x:f>
        <x:v>84</x:v>
      </x:c>
      <x:c r="O683" s="19" t="n">
        <x:f>F683*J683</x:f>
        <x:v>0</x:v>
      </x:c>
      <x:c r="P683" s="19" t="n">
        <x:f>M683-N683-O683</x:f>
        <x:v>60</x:v>
      </x:c>
    </x:row>
    <x:row r="684">
      <x:c r="A684" s="15" t="str">
        <x:v>SIM-0680</x:v>
      </x:c>
      <x:c r="B684" s="15" t="str">
        <x:v>2026-04</x:v>
      </x:c>
      <x:c r="C684" s="15" t="str">
        <x:v>Prendas</x:v>
      </x:c>
      <x:c r="D684" s="15" t="str">
        <x:v>Online</x:v>
      </x:c>
      <x:c r="E684" s="15" t="n">
        <x:v>1</x:v>
      </x:c>
      <x:c r="F684" s="15" t="n">
        <x:v>1</x:v>
      </x:c>
      <x:c r="G684" s="19" t="n">
        <x:v>60</x:v>
      </x:c>
      <x:c r="H684" s="19" t="n">
        <x:v>24</x:v>
      </x:c>
      <x:c r="I684" s="17" t="n">
        <x:v>0.2</x:v>
      </x:c>
      <x:c r="J684" s="19" t="n">
        <x:v>6</x:v>
      </x:c>
      <x:c r="K684" s="19" t="n">
        <x:f>E684*G684</x:f>
        <x:v>60</x:v>
      </x:c>
      <x:c r="L684" s="19" t="n">
        <x:f>K684*I684</x:f>
        <x:v>12</x:v>
      </x:c>
      <x:c r="M684" s="19" t="n">
        <x:f>(E684-F684)*G684*(1-I684)</x:f>
        <x:v>0</x:v>
      </x:c>
      <x:c r="N684" s="19" t="n">
        <x:f>(E684-F684)*H684</x:f>
        <x:v>0</x:v>
      </x:c>
      <x:c r="O684" s="19" t="n">
        <x:f>F684*J684</x:f>
        <x:v>6</x:v>
      </x:c>
      <x:c r="P684" s="19" t="n">
        <x:f>M684-N684-O684</x:f>
        <x:v>-6</x:v>
      </x:c>
    </x:row>
    <x:row r="685">
      <x:c r="A685" s="15" t="str">
        <x:v>SIM-0681</x:v>
      </x:c>
      <x:c r="B685" s="15" t="str">
        <x:v>2026-04</x:v>
      </x:c>
      <x:c r="C685" s="15" t="str">
        <x:v>Calzado</x:v>
      </x:c>
      <x:c r="D685" s="15" t="str">
        <x:v>Online</x:v>
      </x:c>
      <x:c r="E685" s="15" t="n">
        <x:v>1</x:v>
      </x:c>
      <x:c r="F685" s="15" t="n">
        <x:v>0</x:v>
      </x:c>
      <x:c r="G685" s="19" t="n">
        <x:v>90</x:v>
      </x:c>
      <x:c r="H685" s="19" t="n">
        <x:v>42</x:v>
      </x:c>
      <x:c r="I685" s="17" t="n">
        <x:v>0.1</x:v>
      </x:c>
      <x:c r="J685" s="19" t="n">
        <x:v>6</x:v>
      </x:c>
      <x:c r="K685" s="19" t="n">
        <x:f>E685*G685</x:f>
        <x:v>90</x:v>
      </x:c>
      <x:c r="L685" s="19" t="n">
        <x:f>K685*I685</x:f>
        <x:v>9</x:v>
      </x:c>
      <x:c r="M685" s="19" t="n">
        <x:f>(E685-F685)*G685*(1-I685)</x:f>
        <x:v>81</x:v>
      </x:c>
      <x:c r="N685" s="19" t="n">
        <x:f>(E685-F685)*H685</x:f>
        <x:v>42</x:v>
      </x:c>
      <x:c r="O685" s="19" t="n">
        <x:f>F685*J685</x:f>
        <x:v>0</x:v>
      </x:c>
      <x:c r="P685" s="19" t="n">
        <x:f>M685-N685-O685</x:f>
        <x:v>39</x:v>
      </x:c>
    </x:row>
    <x:row r="686">
      <x:c r="A686" s="15" t="str">
        <x:v>SIM-0682</x:v>
      </x:c>
      <x:c r="B686" s="15" t="str">
        <x:v>2026-04</x:v>
      </x:c>
      <x:c r="C686" s="15" t="str">
        <x:v>Calzado</x:v>
      </x:c>
      <x:c r="D686" s="15" t="str">
        <x:v>Tienda</x:v>
      </x:c>
      <x:c r="E686" s="15" t="n">
        <x:v>2</x:v>
      </x:c>
      <x:c r="F686" s="15" t="n">
        <x:v>0</x:v>
      </x:c>
      <x:c r="G686" s="19" t="n">
        <x:v>90</x:v>
      </x:c>
      <x:c r="H686" s="19" t="n">
        <x:v>42</x:v>
      </x:c>
      <x:c r="I686" s="17" t="n">
        <x:v>0.1</x:v>
      </x:c>
      <x:c r="J686" s="19" t="n">
        <x:v>2</x:v>
      </x:c>
      <x:c r="K686" s="19" t="n">
        <x:f>E686*G686</x:f>
        <x:v>180</x:v>
      </x:c>
      <x:c r="L686" s="19" t="n">
        <x:f>K686*I686</x:f>
        <x:v>18</x:v>
      </x:c>
      <x:c r="M686" s="19" t="n">
        <x:f>(E686-F686)*G686*(1-I686)</x:f>
        <x:v>162</x:v>
      </x:c>
      <x:c r="N686" s="19" t="n">
        <x:f>(E686-F686)*H686</x:f>
        <x:v>84</x:v>
      </x:c>
      <x:c r="O686" s="19" t="n">
        <x:f>F686*J686</x:f>
        <x:v>0</x:v>
      </x:c>
      <x:c r="P686" s="19" t="n">
        <x:f>M686-N686-O686</x:f>
        <x:v>78</x:v>
      </x:c>
    </x:row>
    <x:row r="687">
      <x:c r="A687" s="15" t="str">
        <x:v>SIM-0683</x:v>
      </x:c>
      <x:c r="B687" s="15" t="str">
        <x:v>2026-04</x:v>
      </x:c>
      <x:c r="C687" s="15" t="str">
        <x:v>Prendas</x:v>
      </x:c>
      <x:c r="D687" s="15" t="str">
        <x:v>Online</x:v>
      </x:c>
      <x:c r="E687" s="15" t="n">
        <x:v>1</x:v>
      </x:c>
      <x:c r="F687" s="15" t="n">
        <x:v>0</x:v>
      </x:c>
      <x:c r="G687" s="19" t="n">
        <x:v>60</x:v>
      </x:c>
      <x:c r="H687" s="19" t="n">
        <x:v>24</x:v>
      </x:c>
      <x:c r="I687" s="17" t="n">
        <x:v>0.2</x:v>
      </x:c>
      <x:c r="J687" s="19" t="n">
        <x:v>6</x:v>
      </x:c>
      <x:c r="K687" s="19" t="n">
        <x:f>E687*G687</x:f>
        <x:v>60</x:v>
      </x:c>
      <x:c r="L687" s="19" t="n">
        <x:f>K687*I687</x:f>
        <x:v>12</x:v>
      </x:c>
      <x:c r="M687" s="19" t="n">
        <x:f>(E687-F687)*G687*(1-I687)</x:f>
        <x:v>48</x:v>
      </x:c>
      <x:c r="N687" s="19" t="n">
        <x:f>(E687-F687)*H687</x:f>
        <x:v>24</x:v>
      </x:c>
      <x:c r="O687" s="19" t="n">
        <x:f>F687*J687</x:f>
        <x:v>0</x:v>
      </x:c>
      <x:c r="P687" s="19" t="n">
        <x:f>M687-N687-O687</x:f>
        <x:v>24</x:v>
      </x:c>
    </x:row>
    <x:row r="688">
      <x:c r="A688" s="15" t="str">
        <x:v>SIM-0684</x:v>
      </x:c>
      <x:c r="B688" s="15" t="str">
        <x:v>2026-04</x:v>
      </x:c>
      <x:c r="C688" s="15" t="str">
        <x:v>Prendas</x:v>
      </x:c>
      <x:c r="D688" s="15" t="str">
        <x:v>Online</x:v>
      </x:c>
      <x:c r="E688" s="15" t="n">
        <x:v>1</x:v>
      </x:c>
      <x:c r="F688" s="15" t="n">
        <x:v>0</x:v>
      </x:c>
      <x:c r="G688" s="19" t="n">
        <x:v>60</x:v>
      </x:c>
      <x:c r="H688" s="19" t="n">
        <x:v>24</x:v>
      </x:c>
      <x:c r="I688" s="17" t="n">
        <x:v>0.3</x:v>
      </x:c>
      <x:c r="J688" s="19" t="n">
        <x:v>6</x:v>
      </x:c>
      <x:c r="K688" s="19" t="n">
        <x:f>E688*G688</x:f>
        <x:v>60</x:v>
      </x:c>
      <x:c r="L688" s="19" t="n">
        <x:f>K688*I688</x:f>
        <x:v>18</x:v>
      </x:c>
      <x:c r="M688" s="19" t="n">
        <x:f>(E688-F688)*G688*(1-I688)</x:f>
        <x:v>42</x:v>
      </x:c>
      <x:c r="N688" s="19" t="n">
        <x:f>(E688-F688)*H688</x:f>
        <x:v>24</x:v>
      </x:c>
      <x:c r="O688" s="19" t="n">
        <x:f>F688*J688</x:f>
        <x:v>0</x:v>
      </x:c>
      <x:c r="P688" s="19" t="n">
        <x:f>M688-N688-O688</x:f>
        <x:v>18</x:v>
      </x:c>
    </x:row>
    <x:row r="689">
      <x:c r="A689" s="15" t="str">
        <x:v>SIM-0685</x:v>
      </x:c>
      <x:c r="B689" s="15" t="str">
        <x:v>2026-04</x:v>
      </x:c>
      <x:c r="C689" s="15" t="str">
        <x:v>Accesorios</x:v>
      </x:c>
      <x:c r="D689" s="15" t="str">
        <x:v>Online</x:v>
      </x:c>
      <x:c r="E689" s="15" t="n">
        <x:v>2</x:v>
      </x:c>
      <x:c r="F689" s="15" t="n">
        <x:v>0</x:v>
      </x:c>
      <x:c r="G689" s="19" t="n">
        <x:v>30</x:v>
      </x:c>
      <x:c r="H689" s="19" t="n">
        <x:v>9</x:v>
      </x:c>
      <x:c r="I689" s="17" t="n">
        <x:v>0.3</x:v>
      </x:c>
      <x:c r="J689" s="19" t="n">
        <x:v>6</x:v>
      </x:c>
      <x:c r="K689" s="19" t="n">
        <x:f>E689*G689</x:f>
        <x:v>60</x:v>
      </x:c>
      <x:c r="L689" s="19" t="n">
        <x:f>K689*I689</x:f>
        <x:v>18</x:v>
      </x:c>
      <x:c r="M689" s="19" t="n">
        <x:f>(E689-F689)*G689*(1-I689)</x:f>
        <x:v>42</x:v>
      </x:c>
      <x:c r="N689" s="19" t="n">
        <x:f>(E689-F689)*H689</x:f>
        <x:v>18</x:v>
      </x:c>
      <x:c r="O689" s="19" t="n">
        <x:f>F689*J689</x:f>
        <x:v>0</x:v>
      </x:c>
      <x:c r="P689" s="19" t="n">
        <x:f>M689-N689-O689</x:f>
        <x:v>24</x:v>
      </x:c>
    </x:row>
    <x:row r="690">
      <x:c r="A690" s="15" t="str">
        <x:v>SIM-0686</x:v>
      </x:c>
      <x:c r="B690" s="15" t="str">
        <x:v>2026-04</x:v>
      </x:c>
      <x:c r="C690" s="15" t="str">
        <x:v>Prendas</x:v>
      </x:c>
      <x:c r="D690" s="15" t="str">
        <x:v>Online</x:v>
      </x:c>
      <x:c r="E690" s="15" t="n">
        <x:v>1</x:v>
      </x:c>
      <x:c r="F690" s="15" t="n">
        <x:v>0</x:v>
      </x:c>
      <x:c r="G690" s="19" t="n">
        <x:v>60</x:v>
      </x:c>
      <x:c r="H690" s="19" t="n">
        <x:v>24</x:v>
      </x:c>
      <x:c r="I690" s="17" t="n">
        <x:v>0.3</x:v>
      </x:c>
      <x:c r="J690" s="19" t="n">
        <x:v>6</x:v>
      </x:c>
      <x:c r="K690" s="19" t="n">
        <x:f>E690*G690</x:f>
        <x:v>60</x:v>
      </x:c>
      <x:c r="L690" s="19" t="n">
        <x:f>K690*I690</x:f>
        <x:v>18</x:v>
      </x:c>
      <x:c r="M690" s="19" t="n">
        <x:f>(E690-F690)*G690*(1-I690)</x:f>
        <x:v>42</x:v>
      </x:c>
      <x:c r="N690" s="19" t="n">
        <x:f>(E690-F690)*H690</x:f>
        <x:v>24</x:v>
      </x:c>
      <x:c r="O690" s="19" t="n">
        <x:f>F690*J690</x:f>
        <x:v>0</x:v>
      </x:c>
      <x:c r="P690" s="19" t="n">
        <x:f>M690-N690-O690</x:f>
        <x:v>18</x:v>
      </x:c>
    </x:row>
    <x:row r="691">
      <x:c r="A691" s="15" t="str">
        <x:v>SIM-0687</x:v>
      </x:c>
      <x:c r="B691" s="15" t="str">
        <x:v>2026-04</x:v>
      </x:c>
      <x:c r="C691" s="15" t="str">
        <x:v>Prendas</x:v>
      </x:c>
      <x:c r="D691" s="15" t="str">
        <x:v>Tienda</x:v>
      </x:c>
      <x:c r="E691" s="15" t="n">
        <x:v>1</x:v>
      </x:c>
      <x:c r="F691" s="15" t="n">
        <x:v>0</x:v>
      </x:c>
      <x:c r="G691" s="19" t="n">
        <x:v>60</x:v>
      </x:c>
      <x:c r="H691" s="19" t="n">
        <x:v>24</x:v>
      </x:c>
      <x:c r="I691" s="17" t="n">
        <x:v>0.1</x:v>
      </x:c>
      <x:c r="J691" s="19" t="n">
        <x:v>2</x:v>
      </x:c>
      <x:c r="K691" s="19" t="n">
        <x:f>E691*G691</x:f>
        <x:v>60</x:v>
      </x:c>
      <x:c r="L691" s="19" t="n">
        <x:f>K691*I691</x:f>
        <x:v>6</x:v>
      </x:c>
      <x:c r="M691" s="19" t="n">
        <x:f>(E691-F691)*G691*(1-I691)</x:f>
        <x:v>54</x:v>
      </x:c>
      <x:c r="N691" s="19" t="n">
        <x:f>(E691-F691)*H691</x:f>
        <x:v>24</x:v>
      </x:c>
      <x:c r="O691" s="19" t="n">
        <x:f>F691*J691</x:f>
        <x:v>0</x:v>
      </x:c>
      <x:c r="P691" s="19" t="n">
        <x:f>M691-N691-O691</x:f>
        <x:v>30</x:v>
      </x:c>
    </x:row>
    <x:row r="692">
      <x:c r="A692" s="15" t="str">
        <x:v>SIM-0688</x:v>
      </x:c>
      <x:c r="B692" s="15" t="str">
        <x:v>2026-04</x:v>
      </x:c>
      <x:c r="C692" s="15" t="str">
        <x:v>Calzado</x:v>
      </x:c>
      <x:c r="D692" s="15" t="str">
        <x:v>Tienda</x:v>
      </x:c>
      <x:c r="E692" s="15" t="n">
        <x:v>1</x:v>
      </x:c>
      <x:c r="F692" s="15" t="n">
        <x:v>0</x:v>
      </x:c>
      <x:c r="G692" s="19" t="n">
        <x:v>90</x:v>
      </x:c>
      <x:c r="H692" s="19" t="n">
        <x:v>42</x:v>
      </x:c>
      <x:c r="I692" s="17" t="n">
        <x:v>0.2</x:v>
      </x:c>
      <x:c r="J692" s="19" t="n">
        <x:v>2</x:v>
      </x:c>
      <x:c r="K692" s="19" t="n">
        <x:f>E692*G692</x:f>
        <x:v>90</x:v>
      </x:c>
      <x:c r="L692" s="19" t="n">
        <x:f>K692*I692</x:f>
        <x:v>18</x:v>
      </x:c>
      <x:c r="M692" s="19" t="n">
        <x:f>(E692-F692)*G692*(1-I692)</x:f>
        <x:v>72</x:v>
      </x:c>
      <x:c r="N692" s="19" t="n">
        <x:f>(E692-F692)*H692</x:f>
        <x:v>42</x:v>
      </x:c>
      <x:c r="O692" s="19" t="n">
        <x:f>F692*J692</x:f>
        <x:v>0</x:v>
      </x:c>
      <x:c r="P692" s="19" t="n">
        <x:f>M692-N692-O692</x:f>
        <x:v>30</x:v>
      </x:c>
    </x:row>
    <x:row r="693">
      <x:c r="A693" s="15" t="str">
        <x:v>SIM-0689</x:v>
      </x:c>
      <x:c r="B693" s="15" t="str">
        <x:v>2026-04</x:v>
      </x:c>
      <x:c r="C693" s="15" t="str">
        <x:v>Calzado</x:v>
      </x:c>
      <x:c r="D693" s="15" t="str">
        <x:v>Online</x:v>
      </x:c>
      <x:c r="E693" s="15" t="n">
        <x:v>3</x:v>
      </x:c>
      <x:c r="F693" s="15" t="n">
        <x:v>2</x:v>
      </x:c>
      <x:c r="G693" s="19" t="n">
        <x:v>90</x:v>
      </x:c>
      <x:c r="H693" s="19" t="n">
        <x:v>42</x:v>
      </x:c>
      <x:c r="I693" s="17" t="n">
        <x:v>0</x:v>
      </x:c>
      <x:c r="J693" s="19" t="n">
        <x:v>6</x:v>
      </x:c>
      <x:c r="K693" s="19" t="n">
        <x:f>E693*G693</x:f>
        <x:v>270</x:v>
      </x:c>
      <x:c r="L693" s="19" t="n">
        <x:f>K693*I693</x:f>
        <x:v>0</x:v>
      </x:c>
      <x:c r="M693" s="19" t="n">
        <x:f>(E693-F693)*G693*(1-I693)</x:f>
        <x:v>90</x:v>
      </x:c>
      <x:c r="N693" s="19" t="n">
        <x:f>(E693-F693)*H693</x:f>
        <x:v>42</x:v>
      </x:c>
      <x:c r="O693" s="19" t="n">
        <x:f>F693*J693</x:f>
        <x:v>12</x:v>
      </x:c>
      <x:c r="P693" s="19" t="n">
        <x:f>M693-N693-O693</x:f>
        <x:v>36</x:v>
      </x:c>
    </x:row>
    <x:row r="694">
      <x:c r="A694" s="15" t="str">
        <x:v>SIM-0690</x:v>
      </x:c>
      <x:c r="B694" s="15" t="str">
        <x:v>2026-04</x:v>
      </x:c>
      <x:c r="C694" s="15" t="str">
        <x:v>Calzado</x:v>
      </x:c>
      <x:c r="D694" s="15" t="str">
        <x:v>Tienda</x:v>
      </x:c>
      <x:c r="E694" s="15" t="n">
        <x:v>2</x:v>
      </x:c>
      <x:c r="F694" s="15" t="n">
        <x:v>0</x:v>
      </x:c>
      <x:c r="G694" s="19" t="n">
        <x:v>90</x:v>
      </x:c>
      <x:c r="H694" s="19" t="n">
        <x:v>42</x:v>
      </x:c>
      <x:c r="I694" s="17" t="n">
        <x:v>0.3</x:v>
      </x:c>
      <x:c r="J694" s="19" t="n">
        <x:v>2</x:v>
      </x:c>
      <x:c r="K694" s="19" t="n">
        <x:f>E694*G694</x:f>
        <x:v>180</x:v>
      </x:c>
      <x:c r="L694" s="19" t="n">
        <x:f>K694*I694</x:f>
        <x:v>54</x:v>
      </x:c>
      <x:c r="M694" s="19" t="n">
        <x:f>(E694-F694)*G694*(1-I694)</x:f>
        <x:v>125.99999999999999</x:v>
      </x:c>
      <x:c r="N694" s="19" t="n">
        <x:f>(E694-F694)*H694</x:f>
        <x:v>84</x:v>
      </x:c>
      <x:c r="O694" s="19" t="n">
        <x:f>F694*J694</x:f>
        <x:v>0</x:v>
      </x:c>
      <x:c r="P694" s="19" t="n">
        <x:f>M694-N694-O694</x:f>
        <x:v>41.999999999999986</x:v>
      </x:c>
    </x:row>
    <x:row r="695">
      <x:c r="A695" s="15" t="str">
        <x:v>SIM-0691</x:v>
      </x:c>
      <x:c r="B695" s="15" t="str">
        <x:v>2026-04</x:v>
      </x:c>
      <x:c r="C695" s="15" t="str">
        <x:v>Calzado</x:v>
      </x:c>
      <x:c r="D695" s="15" t="str">
        <x:v>Tienda</x:v>
      </x:c>
      <x:c r="E695" s="15" t="n">
        <x:v>3</x:v>
      </x:c>
      <x:c r="F695" s="15" t="n">
        <x:v>1</x:v>
      </x:c>
      <x:c r="G695" s="19" t="n">
        <x:v>90</x:v>
      </x:c>
      <x:c r="H695" s="19" t="n">
        <x:v>42</x:v>
      </x:c>
      <x:c r="I695" s="17" t="n">
        <x:v>0.1</x:v>
      </x:c>
      <x:c r="J695" s="19" t="n">
        <x:v>2</x:v>
      </x:c>
      <x:c r="K695" s="19" t="n">
        <x:f>E695*G695</x:f>
        <x:v>270</x:v>
      </x:c>
      <x:c r="L695" s="19" t="n">
        <x:f>K695*I695</x:f>
        <x:v>27</x:v>
      </x:c>
      <x:c r="M695" s="19" t="n">
        <x:f>(E695-F695)*G695*(1-I695)</x:f>
        <x:v>162</x:v>
      </x:c>
      <x:c r="N695" s="19" t="n">
        <x:f>(E695-F695)*H695</x:f>
        <x:v>84</x:v>
      </x:c>
      <x:c r="O695" s="19" t="n">
        <x:f>F695*J695</x:f>
        <x:v>2</x:v>
      </x:c>
      <x:c r="P695" s="19" t="n">
        <x:f>M695-N695-O695</x:f>
        <x:v>76</x:v>
      </x:c>
    </x:row>
    <x:row r="696">
      <x:c r="A696" s="15" t="str">
        <x:v>SIM-0692</x:v>
      </x:c>
      <x:c r="B696" s="15" t="str">
        <x:v>2026-04</x:v>
      </x:c>
      <x:c r="C696" s="15" t="str">
        <x:v>Calzado</x:v>
      </x:c>
      <x:c r="D696" s="15" t="str">
        <x:v>Tienda</x:v>
      </x:c>
      <x:c r="E696" s="15" t="n">
        <x:v>1</x:v>
      </x:c>
      <x:c r="F696" s="15" t="n">
        <x:v>0</x:v>
      </x:c>
      <x:c r="G696" s="19" t="n">
        <x:v>90</x:v>
      </x:c>
      <x:c r="H696" s="19" t="n">
        <x:v>42</x:v>
      </x:c>
      <x:c r="I696" s="17" t="n">
        <x:v>0.1</x:v>
      </x:c>
      <x:c r="J696" s="19" t="n">
        <x:v>2</x:v>
      </x:c>
      <x:c r="K696" s="19" t="n">
        <x:f>E696*G696</x:f>
        <x:v>90</x:v>
      </x:c>
      <x:c r="L696" s="19" t="n">
        <x:f>K696*I696</x:f>
        <x:v>9</x:v>
      </x:c>
      <x:c r="M696" s="19" t="n">
        <x:f>(E696-F696)*G696*(1-I696)</x:f>
        <x:v>81</x:v>
      </x:c>
      <x:c r="N696" s="19" t="n">
        <x:f>(E696-F696)*H696</x:f>
        <x:v>42</x:v>
      </x:c>
      <x:c r="O696" s="19" t="n">
        <x:f>F696*J696</x:f>
        <x:v>0</x:v>
      </x:c>
      <x:c r="P696" s="19" t="n">
        <x:f>M696-N696-O696</x:f>
        <x:v>39</x:v>
      </x:c>
    </x:row>
    <x:row r="697">
      <x:c r="A697" s="15" t="str">
        <x:v>SIM-0693</x:v>
      </x:c>
      <x:c r="B697" s="15" t="str">
        <x:v>2026-04</x:v>
      </x:c>
      <x:c r="C697" s="15" t="str">
        <x:v>Prendas</x:v>
      </x:c>
      <x:c r="D697" s="15" t="str">
        <x:v>Tienda</x:v>
      </x:c>
      <x:c r="E697" s="15" t="n">
        <x:v>1</x:v>
      </x:c>
      <x:c r="F697" s="15" t="n">
        <x:v>0</x:v>
      </x:c>
      <x:c r="G697" s="19" t="n">
        <x:v>60</x:v>
      </x:c>
      <x:c r="H697" s="19" t="n">
        <x:v>24</x:v>
      </x:c>
      <x:c r="I697" s="17" t="n">
        <x:v>0</x:v>
      </x:c>
      <x:c r="J697" s="19" t="n">
        <x:v>2</x:v>
      </x:c>
      <x:c r="K697" s="19" t="n">
        <x:f>E697*G697</x:f>
        <x:v>60</x:v>
      </x:c>
      <x:c r="L697" s="19" t="n">
        <x:f>K697*I697</x:f>
        <x:v>0</x:v>
      </x:c>
      <x:c r="M697" s="19" t="n">
        <x:f>(E697-F697)*G697*(1-I697)</x:f>
        <x:v>60</x:v>
      </x:c>
      <x:c r="N697" s="19" t="n">
        <x:f>(E697-F697)*H697</x:f>
        <x:v>24</x:v>
      </x:c>
      <x:c r="O697" s="19" t="n">
        <x:f>F697*J697</x:f>
        <x:v>0</x:v>
      </x:c>
      <x:c r="P697" s="19" t="n">
        <x:f>M697-N697-O697</x:f>
        <x:v>36</x:v>
      </x:c>
    </x:row>
    <x:row r="698">
      <x:c r="A698" s="15" t="str">
        <x:v>SIM-0694</x:v>
      </x:c>
      <x:c r="B698" s="15" t="str">
        <x:v>2026-04</x:v>
      </x:c>
      <x:c r="C698" s="15" t="str">
        <x:v>Prendas</x:v>
      </x:c>
      <x:c r="D698" s="15" t="str">
        <x:v>Tienda</x:v>
      </x:c>
      <x:c r="E698" s="15" t="n">
        <x:v>1</x:v>
      </x:c>
      <x:c r="F698" s="15" t="n">
        <x:v>0</x:v>
      </x:c>
      <x:c r="G698" s="19" t="n">
        <x:v>60</x:v>
      </x:c>
      <x:c r="H698" s="19" t="n">
        <x:v>24</x:v>
      </x:c>
      <x:c r="I698" s="17" t="n">
        <x:v>0.2</x:v>
      </x:c>
      <x:c r="J698" s="19" t="n">
        <x:v>2</x:v>
      </x:c>
      <x:c r="K698" s="19" t="n">
        <x:f>E698*G698</x:f>
        <x:v>60</x:v>
      </x:c>
      <x:c r="L698" s="19" t="n">
        <x:f>K698*I698</x:f>
        <x:v>12</x:v>
      </x:c>
      <x:c r="M698" s="19" t="n">
        <x:f>(E698-F698)*G698*(1-I698)</x:f>
        <x:v>48</x:v>
      </x:c>
      <x:c r="N698" s="19" t="n">
        <x:f>(E698-F698)*H698</x:f>
        <x:v>24</x:v>
      </x:c>
      <x:c r="O698" s="19" t="n">
        <x:f>F698*J698</x:f>
        <x:v>0</x:v>
      </x:c>
      <x:c r="P698" s="19" t="n">
        <x:f>M698-N698-O698</x:f>
        <x:v>24</x:v>
      </x:c>
    </x:row>
    <x:row r="699">
      <x:c r="A699" s="15" t="str">
        <x:v>SIM-0695</x:v>
      </x:c>
      <x:c r="B699" s="15" t="str">
        <x:v>2026-04</x:v>
      </x:c>
      <x:c r="C699" s="15" t="str">
        <x:v>Prendas</x:v>
      </x:c>
      <x:c r="D699" s="15" t="str">
        <x:v>Tienda</x:v>
      </x:c>
      <x:c r="E699" s="15" t="n">
        <x:v>1</x:v>
      </x:c>
      <x:c r="F699" s="15" t="n">
        <x:v>0</x:v>
      </x:c>
      <x:c r="G699" s="19" t="n">
        <x:v>60</x:v>
      </x:c>
      <x:c r="H699" s="19" t="n">
        <x:v>24</x:v>
      </x:c>
      <x:c r="I699" s="17" t="n">
        <x:v>0.1</x:v>
      </x:c>
      <x:c r="J699" s="19" t="n">
        <x:v>2</x:v>
      </x:c>
      <x:c r="K699" s="19" t="n">
        <x:f>E699*G699</x:f>
        <x:v>60</x:v>
      </x:c>
      <x:c r="L699" s="19" t="n">
        <x:f>K699*I699</x:f>
        <x:v>6</x:v>
      </x:c>
      <x:c r="M699" s="19" t="n">
        <x:f>(E699-F699)*G699*(1-I699)</x:f>
        <x:v>54</x:v>
      </x:c>
      <x:c r="N699" s="19" t="n">
        <x:f>(E699-F699)*H699</x:f>
        <x:v>24</x:v>
      </x:c>
      <x:c r="O699" s="19" t="n">
        <x:f>F699*J699</x:f>
        <x:v>0</x:v>
      </x:c>
      <x:c r="P699" s="19" t="n">
        <x:f>M699-N699-O699</x:f>
        <x:v>30</x:v>
      </x:c>
    </x:row>
    <x:row r="700">
      <x:c r="A700" s="15" t="str">
        <x:v>SIM-0696</x:v>
      </x:c>
      <x:c r="B700" s="15" t="str">
        <x:v>2026-04</x:v>
      </x:c>
      <x:c r="C700" s="15" t="str">
        <x:v>Accesorios</x:v>
      </x:c>
      <x:c r="D700" s="15" t="str">
        <x:v>Online</x:v>
      </x:c>
      <x:c r="E700" s="15" t="n">
        <x:v>2</x:v>
      </x:c>
      <x:c r="F700" s="15" t="n">
        <x:v>0</x:v>
      </x:c>
      <x:c r="G700" s="19" t="n">
        <x:v>30</x:v>
      </x:c>
      <x:c r="H700" s="19" t="n">
        <x:v>9</x:v>
      </x:c>
      <x:c r="I700" s="17" t="n">
        <x:v>0.1</x:v>
      </x:c>
      <x:c r="J700" s="19" t="n">
        <x:v>6</x:v>
      </x:c>
      <x:c r="K700" s="19" t="n">
        <x:f>E700*G700</x:f>
        <x:v>60</x:v>
      </x:c>
      <x:c r="L700" s="19" t="n">
        <x:f>K700*I700</x:f>
        <x:v>6</x:v>
      </x:c>
      <x:c r="M700" s="19" t="n">
        <x:f>(E700-F700)*G700*(1-I700)</x:f>
        <x:v>54</x:v>
      </x:c>
      <x:c r="N700" s="19" t="n">
        <x:f>(E700-F700)*H700</x:f>
        <x:v>18</x:v>
      </x:c>
      <x:c r="O700" s="19" t="n">
        <x:f>F700*J700</x:f>
        <x:v>0</x:v>
      </x:c>
      <x:c r="P700" s="19" t="n">
        <x:f>M700-N700-O700</x:f>
        <x:v>36</x:v>
      </x:c>
    </x:row>
    <x:row r="701">
      <x:c r="A701" s="15" t="str">
        <x:v>SIM-0697</x:v>
      </x:c>
      <x:c r="B701" s="15" t="str">
        <x:v>2026-04</x:v>
      </x:c>
      <x:c r="C701" s="15" t="str">
        <x:v>Prendas</x:v>
      </x:c>
      <x:c r="D701" s="15" t="str">
        <x:v>Tienda</x:v>
      </x:c>
      <x:c r="E701" s="15" t="n">
        <x:v>1</x:v>
      </x:c>
      <x:c r="F701" s="15" t="n">
        <x:v>0</x:v>
      </x:c>
      <x:c r="G701" s="19" t="n">
        <x:v>60</x:v>
      </x:c>
      <x:c r="H701" s="19" t="n">
        <x:v>24</x:v>
      </x:c>
      <x:c r="I701" s="17" t="n">
        <x:v>0.3</x:v>
      </x:c>
      <x:c r="J701" s="19" t="n">
        <x:v>2</x:v>
      </x:c>
      <x:c r="K701" s="19" t="n">
        <x:f>E701*G701</x:f>
        <x:v>60</x:v>
      </x:c>
      <x:c r="L701" s="19" t="n">
        <x:f>K701*I701</x:f>
        <x:v>18</x:v>
      </x:c>
      <x:c r="M701" s="19" t="n">
        <x:f>(E701-F701)*G701*(1-I701)</x:f>
        <x:v>42</x:v>
      </x:c>
      <x:c r="N701" s="19" t="n">
        <x:f>(E701-F701)*H701</x:f>
        <x:v>24</x:v>
      </x:c>
      <x:c r="O701" s="19" t="n">
        <x:f>F701*J701</x:f>
        <x:v>0</x:v>
      </x:c>
      <x:c r="P701" s="19" t="n">
        <x:f>M701-N701-O701</x:f>
        <x:v>18</x:v>
      </x:c>
    </x:row>
    <x:row r="702">
      <x:c r="A702" s="15" t="str">
        <x:v>SIM-0698</x:v>
      </x:c>
      <x:c r="B702" s="15" t="str">
        <x:v>2026-04</x:v>
      </x:c>
      <x:c r="C702" s="15" t="str">
        <x:v>Calzado</x:v>
      </x:c>
      <x:c r="D702" s="15" t="str">
        <x:v>Online</x:v>
      </x:c>
      <x:c r="E702" s="15" t="n">
        <x:v>1</x:v>
      </x:c>
      <x:c r="F702" s="15" t="n">
        <x:v>0</x:v>
      </x:c>
      <x:c r="G702" s="19" t="n">
        <x:v>90</x:v>
      </x:c>
      <x:c r="H702" s="19" t="n">
        <x:v>42</x:v>
      </x:c>
      <x:c r="I702" s="17" t="n">
        <x:v>0.3</x:v>
      </x:c>
      <x:c r="J702" s="19" t="n">
        <x:v>6</x:v>
      </x:c>
      <x:c r="K702" s="19" t="n">
        <x:f>E702*G702</x:f>
        <x:v>90</x:v>
      </x:c>
      <x:c r="L702" s="19" t="n">
        <x:f>K702*I702</x:f>
        <x:v>27</x:v>
      </x:c>
      <x:c r="M702" s="19" t="n">
        <x:f>(E702-F702)*G702*(1-I702)</x:f>
        <x:v>62.99999999999999</x:v>
      </x:c>
      <x:c r="N702" s="19" t="n">
        <x:f>(E702-F702)*H702</x:f>
        <x:v>42</x:v>
      </x:c>
      <x:c r="O702" s="19" t="n">
        <x:f>F702*J702</x:f>
        <x:v>0</x:v>
      </x:c>
      <x:c r="P702" s="19" t="n">
        <x:f>M702-N702-O702</x:f>
        <x:v>20.999999999999993</x:v>
      </x:c>
    </x:row>
    <x:row r="703">
      <x:c r="A703" s="15" t="str">
        <x:v>SIM-0699</x:v>
      </x:c>
      <x:c r="B703" s="15" t="str">
        <x:v>2026-04</x:v>
      </x:c>
      <x:c r="C703" s="15" t="str">
        <x:v>Calzado</x:v>
      </x:c>
      <x:c r="D703" s="15" t="str">
        <x:v>Tienda</x:v>
      </x:c>
      <x:c r="E703" s="15" t="n">
        <x:v>1</x:v>
      </x:c>
      <x:c r="F703" s="15" t="n">
        <x:v>0</x:v>
      </x:c>
      <x:c r="G703" s="19" t="n">
        <x:v>90</x:v>
      </x:c>
      <x:c r="H703" s="19" t="n">
        <x:v>42</x:v>
      </x:c>
      <x:c r="I703" s="17" t="n">
        <x:v>0.1</x:v>
      </x:c>
      <x:c r="J703" s="19" t="n">
        <x:v>2</x:v>
      </x:c>
      <x:c r="K703" s="19" t="n">
        <x:f>E703*G703</x:f>
        <x:v>90</x:v>
      </x:c>
      <x:c r="L703" s="19" t="n">
        <x:f>K703*I703</x:f>
        <x:v>9</x:v>
      </x:c>
      <x:c r="M703" s="19" t="n">
        <x:f>(E703-F703)*G703*(1-I703)</x:f>
        <x:v>81</x:v>
      </x:c>
      <x:c r="N703" s="19" t="n">
        <x:f>(E703-F703)*H703</x:f>
        <x:v>42</x:v>
      </x:c>
      <x:c r="O703" s="19" t="n">
        <x:f>F703*J703</x:f>
        <x:v>0</x:v>
      </x:c>
      <x:c r="P703" s="19" t="n">
        <x:f>M703-N703-O703</x:f>
        <x:v>39</x:v>
      </x:c>
    </x:row>
    <x:row r="704">
      <x:c r="A704" s="15" t="str">
        <x:v>SIM-0700</x:v>
      </x:c>
      <x:c r="B704" s="15" t="str">
        <x:v>2026-04</x:v>
      </x:c>
      <x:c r="C704" s="15" t="str">
        <x:v>Prendas</x:v>
      </x:c>
      <x:c r="D704" s="15" t="str">
        <x:v>Online</x:v>
      </x:c>
      <x:c r="E704" s="15" t="n">
        <x:v>1</x:v>
      </x:c>
      <x:c r="F704" s="15" t="n">
        <x:v>0</x:v>
      </x:c>
      <x:c r="G704" s="19" t="n">
        <x:v>60</x:v>
      </x:c>
      <x:c r="H704" s="19" t="n">
        <x:v>24</x:v>
      </x:c>
      <x:c r="I704" s="17" t="n">
        <x:v>0</x:v>
      </x:c>
      <x:c r="J704" s="19" t="n">
        <x:v>6</x:v>
      </x:c>
      <x:c r="K704" s="19" t="n">
        <x:f>E704*G704</x:f>
        <x:v>60</x:v>
      </x:c>
      <x:c r="L704" s="19" t="n">
        <x:f>K704*I704</x:f>
        <x:v>0</x:v>
      </x:c>
      <x:c r="M704" s="19" t="n">
        <x:f>(E704-F704)*G704*(1-I704)</x:f>
        <x:v>60</x:v>
      </x:c>
      <x:c r="N704" s="19" t="n">
        <x:f>(E704-F704)*H704</x:f>
        <x:v>24</x:v>
      </x:c>
      <x:c r="O704" s="19" t="n">
        <x:f>F704*J704</x:f>
        <x:v>0</x:v>
      </x:c>
      <x:c r="P704" s="19" t="n">
        <x:f>M704-N704-O704</x:f>
        <x:v>36</x:v>
      </x:c>
    </x:row>
    <x:row r="705">
      <x:c r="A705" s="15" t="str">
        <x:v>SIM-0701</x:v>
      </x:c>
      <x:c r="B705" s="15" t="str">
        <x:v>2026-04</x:v>
      </x:c>
      <x:c r="C705" s="15" t="str">
        <x:v>Prendas</x:v>
      </x:c>
      <x:c r="D705" s="15" t="str">
        <x:v>Online</x:v>
      </x:c>
      <x:c r="E705" s="15" t="n">
        <x:v>2</x:v>
      </x:c>
      <x:c r="F705" s="15" t="n">
        <x:v>0</x:v>
      </x:c>
      <x:c r="G705" s="19" t="n">
        <x:v>60</x:v>
      </x:c>
      <x:c r="H705" s="19" t="n">
        <x:v>24</x:v>
      </x:c>
      <x:c r="I705" s="17" t="n">
        <x:v>0.2</x:v>
      </x:c>
      <x:c r="J705" s="19" t="n">
        <x:v>6</x:v>
      </x:c>
      <x:c r="K705" s="19" t="n">
        <x:f>E705*G705</x:f>
        <x:v>120</x:v>
      </x:c>
      <x:c r="L705" s="19" t="n">
        <x:f>K705*I705</x:f>
        <x:v>24</x:v>
      </x:c>
      <x:c r="M705" s="19" t="n">
        <x:f>(E705-F705)*G705*(1-I705)</x:f>
        <x:v>96</x:v>
      </x:c>
      <x:c r="N705" s="19" t="n">
        <x:f>(E705-F705)*H705</x:f>
        <x:v>48</x:v>
      </x:c>
      <x:c r="O705" s="19" t="n">
        <x:f>F705*J705</x:f>
        <x:v>0</x:v>
      </x:c>
      <x:c r="P705" s="19" t="n">
        <x:f>M705-N705-O705</x:f>
        <x:v>48</x:v>
      </x:c>
    </x:row>
    <x:row r="706">
      <x:c r="A706" s="15" t="str">
        <x:v>SIM-0702</x:v>
      </x:c>
      <x:c r="B706" s="15" t="str">
        <x:v>2026-04</x:v>
      </x:c>
      <x:c r="C706" s="15" t="str">
        <x:v>Prendas</x:v>
      </x:c>
      <x:c r="D706" s="15" t="str">
        <x:v>Tienda</x:v>
      </x:c>
      <x:c r="E706" s="15" t="n">
        <x:v>2</x:v>
      </x:c>
      <x:c r="F706" s="15" t="n">
        <x:v>0</x:v>
      </x:c>
      <x:c r="G706" s="19" t="n">
        <x:v>60</x:v>
      </x:c>
      <x:c r="H706" s="19" t="n">
        <x:v>24</x:v>
      </x:c>
      <x:c r="I706" s="17" t="n">
        <x:v>0.2</x:v>
      </x:c>
      <x:c r="J706" s="19" t="n">
        <x:v>2</x:v>
      </x:c>
      <x:c r="K706" s="19" t="n">
        <x:f>E706*G706</x:f>
        <x:v>120</x:v>
      </x:c>
      <x:c r="L706" s="19" t="n">
        <x:f>K706*I706</x:f>
        <x:v>24</x:v>
      </x:c>
      <x:c r="M706" s="19" t="n">
        <x:f>(E706-F706)*G706*(1-I706)</x:f>
        <x:v>96</x:v>
      </x:c>
      <x:c r="N706" s="19" t="n">
        <x:f>(E706-F706)*H706</x:f>
        <x:v>48</x:v>
      </x:c>
      <x:c r="O706" s="19" t="n">
        <x:f>F706*J706</x:f>
        <x:v>0</x:v>
      </x:c>
      <x:c r="P706" s="19" t="n">
        <x:f>M706-N706-O706</x:f>
        <x:v>48</x:v>
      </x:c>
    </x:row>
    <x:row r="707">
      <x:c r="A707" s="15" t="str">
        <x:v>SIM-0703</x:v>
      </x:c>
      <x:c r="B707" s="15" t="str">
        <x:v>2026-04</x:v>
      </x:c>
      <x:c r="C707" s="15" t="str">
        <x:v>Prendas</x:v>
      </x:c>
      <x:c r="D707" s="15" t="str">
        <x:v>Online</x:v>
      </x:c>
      <x:c r="E707" s="15" t="n">
        <x:v>1</x:v>
      </x:c>
      <x:c r="F707" s="15" t="n">
        <x:v>0</x:v>
      </x:c>
      <x:c r="G707" s="19" t="n">
        <x:v>60</x:v>
      </x:c>
      <x:c r="H707" s="19" t="n">
        <x:v>24</x:v>
      </x:c>
      <x:c r="I707" s="17" t="n">
        <x:v>0</x:v>
      </x:c>
      <x:c r="J707" s="19" t="n">
        <x:v>6</x:v>
      </x:c>
      <x:c r="K707" s="19" t="n">
        <x:f>E707*G707</x:f>
        <x:v>60</x:v>
      </x:c>
      <x:c r="L707" s="19" t="n">
        <x:f>K707*I707</x:f>
        <x:v>0</x:v>
      </x:c>
      <x:c r="M707" s="19" t="n">
        <x:f>(E707-F707)*G707*(1-I707)</x:f>
        <x:v>60</x:v>
      </x:c>
      <x:c r="N707" s="19" t="n">
        <x:f>(E707-F707)*H707</x:f>
        <x:v>24</x:v>
      </x:c>
      <x:c r="O707" s="19" t="n">
        <x:f>F707*J707</x:f>
        <x:v>0</x:v>
      </x:c>
      <x:c r="P707" s="19" t="n">
        <x:f>M707-N707-O707</x:f>
        <x:v>36</x:v>
      </x:c>
    </x:row>
    <x:row r="708">
      <x:c r="A708" s="15" t="str">
        <x:v>SIM-0704</x:v>
      </x:c>
      <x:c r="B708" s="15" t="str">
        <x:v>2026-04</x:v>
      </x:c>
      <x:c r="C708" s="15" t="str">
        <x:v>Calzado</x:v>
      </x:c>
      <x:c r="D708" s="15" t="str">
        <x:v>Online</x:v>
      </x:c>
      <x:c r="E708" s="15" t="n">
        <x:v>1</x:v>
      </x:c>
      <x:c r="F708" s="15" t="n">
        <x:v>0</x:v>
      </x:c>
      <x:c r="G708" s="19" t="n">
        <x:v>90</x:v>
      </x:c>
      <x:c r="H708" s="19" t="n">
        <x:v>42</x:v>
      </x:c>
      <x:c r="I708" s="17" t="n">
        <x:v>0.1</x:v>
      </x:c>
      <x:c r="J708" s="19" t="n">
        <x:v>6</x:v>
      </x:c>
      <x:c r="K708" s="19" t="n">
        <x:f>E708*G708</x:f>
        <x:v>90</x:v>
      </x:c>
      <x:c r="L708" s="19" t="n">
        <x:f>K708*I708</x:f>
        <x:v>9</x:v>
      </x:c>
      <x:c r="M708" s="19" t="n">
        <x:f>(E708-F708)*G708*(1-I708)</x:f>
        <x:v>81</x:v>
      </x:c>
      <x:c r="N708" s="19" t="n">
        <x:f>(E708-F708)*H708</x:f>
        <x:v>42</x:v>
      </x:c>
      <x:c r="O708" s="19" t="n">
        <x:f>F708*J708</x:f>
        <x:v>0</x:v>
      </x:c>
      <x:c r="P708" s="19" t="n">
        <x:f>M708-N708-O708</x:f>
        <x:v>39</x:v>
      </x:c>
    </x:row>
    <x:row r="709">
      <x:c r="A709" s="15" t="str">
        <x:v>SIM-0705</x:v>
      </x:c>
      <x:c r="B709" s="15" t="str">
        <x:v>2026-04</x:v>
      </x:c>
      <x:c r="C709" s="15" t="str">
        <x:v>Prendas</x:v>
      </x:c>
      <x:c r="D709" s="15" t="str">
        <x:v>Tienda</x:v>
      </x:c>
      <x:c r="E709" s="15" t="n">
        <x:v>1</x:v>
      </x:c>
      <x:c r="F709" s="15" t="n">
        <x:v>0</x:v>
      </x:c>
      <x:c r="G709" s="19" t="n">
        <x:v>60</x:v>
      </x:c>
      <x:c r="H709" s="19" t="n">
        <x:v>24</x:v>
      </x:c>
      <x:c r="I709" s="17" t="n">
        <x:v>0.2</x:v>
      </x:c>
      <x:c r="J709" s="19" t="n">
        <x:v>2</x:v>
      </x:c>
      <x:c r="K709" s="19" t="n">
        <x:f>E709*G709</x:f>
        <x:v>60</x:v>
      </x:c>
      <x:c r="L709" s="19" t="n">
        <x:f>K709*I709</x:f>
        <x:v>12</x:v>
      </x:c>
      <x:c r="M709" s="19" t="n">
        <x:f>(E709-F709)*G709*(1-I709)</x:f>
        <x:v>48</x:v>
      </x:c>
      <x:c r="N709" s="19" t="n">
        <x:f>(E709-F709)*H709</x:f>
        <x:v>24</x:v>
      </x:c>
      <x:c r="O709" s="19" t="n">
        <x:f>F709*J709</x:f>
        <x:v>0</x:v>
      </x:c>
      <x:c r="P709" s="19" t="n">
        <x:f>M709-N709-O709</x:f>
        <x:v>24</x:v>
      </x:c>
    </x:row>
    <x:row r="710">
      <x:c r="A710" s="15" t="str">
        <x:v>SIM-0706</x:v>
      </x:c>
      <x:c r="B710" s="15" t="str">
        <x:v>2026-04</x:v>
      </x:c>
      <x:c r="C710" s="15" t="str">
        <x:v>Prendas</x:v>
      </x:c>
      <x:c r="D710" s="15" t="str">
        <x:v>Online</x:v>
      </x:c>
      <x:c r="E710" s="15" t="n">
        <x:v>2</x:v>
      </x:c>
      <x:c r="F710" s="15" t="n">
        <x:v>0</x:v>
      </x:c>
      <x:c r="G710" s="19" t="n">
        <x:v>60</x:v>
      </x:c>
      <x:c r="H710" s="19" t="n">
        <x:v>24</x:v>
      </x:c>
      <x:c r="I710" s="17" t="n">
        <x:v>0.1</x:v>
      </x:c>
      <x:c r="J710" s="19" t="n">
        <x:v>6</x:v>
      </x:c>
      <x:c r="K710" s="19" t="n">
        <x:f>E710*G710</x:f>
        <x:v>120</x:v>
      </x:c>
      <x:c r="L710" s="19" t="n">
        <x:f>K710*I710</x:f>
        <x:v>12</x:v>
      </x:c>
      <x:c r="M710" s="19" t="n">
        <x:f>(E710-F710)*G710*(1-I710)</x:f>
        <x:v>108</x:v>
      </x:c>
      <x:c r="N710" s="19" t="n">
        <x:f>(E710-F710)*H710</x:f>
        <x:v>48</x:v>
      </x:c>
      <x:c r="O710" s="19" t="n">
        <x:f>F710*J710</x:f>
        <x:v>0</x:v>
      </x:c>
      <x:c r="P710" s="19" t="n">
        <x:f>M710-N710-O710</x:f>
        <x:v>60</x:v>
      </x:c>
    </x:row>
    <x:row r="711">
      <x:c r="A711" s="15" t="str">
        <x:v>SIM-0707</x:v>
      </x:c>
      <x:c r="B711" s="15" t="str">
        <x:v>2026-04</x:v>
      </x:c>
      <x:c r="C711" s="15" t="str">
        <x:v>Prendas</x:v>
      </x:c>
      <x:c r="D711" s="15" t="str">
        <x:v>Online</x:v>
      </x:c>
      <x:c r="E711" s="15" t="n">
        <x:v>1</x:v>
      </x:c>
      <x:c r="F711" s="15" t="n">
        <x:v>0</x:v>
      </x:c>
      <x:c r="G711" s="19" t="n">
        <x:v>60</x:v>
      </x:c>
      <x:c r="H711" s="19" t="n">
        <x:v>24</x:v>
      </x:c>
      <x:c r="I711" s="17" t="n">
        <x:v>0</x:v>
      </x:c>
      <x:c r="J711" s="19" t="n">
        <x:v>6</x:v>
      </x:c>
      <x:c r="K711" s="19" t="n">
        <x:f>E711*G711</x:f>
        <x:v>60</x:v>
      </x:c>
      <x:c r="L711" s="19" t="n">
        <x:f>K711*I711</x:f>
        <x:v>0</x:v>
      </x:c>
      <x:c r="M711" s="19" t="n">
        <x:f>(E711-F711)*G711*(1-I711)</x:f>
        <x:v>60</x:v>
      </x:c>
      <x:c r="N711" s="19" t="n">
        <x:f>(E711-F711)*H711</x:f>
        <x:v>24</x:v>
      </x:c>
      <x:c r="O711" s="19" t="n">
        <x:f>F711*J711</x:f>
        <x:v>0</x:v>
      </x:c>
      <x:c r="P711" s="19" t="n">
        <x:f>M711-N711-O711</x:f>
        <x:v>36</x:v>
      </x:c>
    </x:row>
    <x:row r="712">
      <x:c r="A712" s="15" t="str">
        <x:v>SIM-0708</x:v>
      </x:c>
      <x:c r="B712" s="15" t="str">
        <x:v>2026-04</x:v>
      </x:c>
      <x:c r="C712" s="15" t="str">
        <x:v>Prendas</x:v>
      </x:c>
      <x:c r="D712" s="15" t="str">
        <x:v>Tienda</x:v>
      </x:c>
      <x:c r="E712" s="15" t="n">
        <x:v>1</x:v>
      </x:c>
      <x:c r="F712" s="15" t="n">
        <x:v>0</x:v>
      </x:c>
      <x:c r="G712" s="19" t="n">
        <x:v>60</x:v>
      </x:c>
      <x:c r="H712" s="19" t="n">
        <x:v>24</x:v>
      </x:c>
      <x:c r="I712" s="17" t="n">
        <x:v>0.1</x:v>
      </x:c>
      <x:c r="J712" s="19" t="n">
        <x:v>2</x:v>
      </x:c>
      <x:c r="K712" s="19" t="n">
        <x:f>E712*G712</x:f>
        <x:v>60</x:v>
      </x:c>
      <x:c r="L712" s="19" t="n">
        <x:f>K712*I712</x:f>
        <x:v>6</x:v>
      </x:c>
      <x:c r="M712" s="19" t="n">
        <x:f>(E712-F712)*G712*(1-I712)</x:f>
        <x:v>54</x:v>
      </x:c>
      <x:c r="N712" s="19" t="n">
        <x:f>(E712-F712)*H712</x:f>
        <x:v>24</x:v>
      </x:c>
      <x:c r="O712" s="19" t="n">
        <x:f>F712*J712</x:f>
        <x:v>0</x:v>
      </x:c>
      <x:c r="P712" s="19" t="n">
        <x:f>M712-N712-O712</x:f>
        <x:v>30</x:v>
      </x:c>
    </x:row>
    <x:row r="713">
      <x:c r="A713" s="15" t="str">
        <x:v>SIM-0709</x:v>
      </x:c>
      <x:c r="B713" s="15" t="str">
        <x:v>2026-04</x:v>
      </x:c>
      <x:c r="C713" s="15" t="str">
        <x:v>Prendas</x:v>
      </x:c>
      <x:c r="D713" s="15" t="str">
        <x:v>Tienda</x:v>
      </x:c>
      <x:c r="E713" s="15" t="n">
        <x:v>3</x:v>
      </x:c>
      <x:c r="F713" s="15" t="n">
        <x:v>0</x:v>
      </x:c>
      <x:c r="G713" s="19" t="n">
        <x:v>60</x:v>
      </x:c>
      <x:c r="H713" s="19" t="n">
        <x:v>24</x:v>
      </x:c>
      <x:c r="I713" s="17" t="n">
        <x:v>0</x:v>
      </x:c>
      <x:c r="J713" s="19" t="n">
        <x:v>2</x:v>
      </x:c>
      <x:c r="K713" s="19" t="n">
        <x:f>E713*G713</x:f>
        <x:v>180</x:v>
      </x:c>
      <x:c r="L713" s="19" t="n">
        <x:f>K713*I713</x:f>
        <x:v>0</x:v>
      </x:c>
      <x:c r="M713" s="19" t="n">
        <x:f>(E713-F713)*G713*(1-I713)</x:f>
        <x:v>180</x:v>
      </x:c>
      <x:c r="N713" s="19" t="n">
        <x:f>(E713-F713)*H713</x:f>
        <x:v>72</x:v>
      </x:c>
      <x:c r="O713" s="19" t="n">
        <x:f>F713*J713</x:f>
        <x:v>0</x:v>
      </x:c>
      <x:c r="P713" s="19" t="n">
        <x:f>M713-N713-O713</x:f>
        <x:v>108</x:v>
      </x:c>
    </x:row>
    <x:row r="714">
      <x:c r="A714" s="15" t="str">
        <x:v>SIM-0710</x:v>
      </x:c>
      <x:c r="B714" s="15" t="str">
        <x:v>2026-04</x:v>
      </x:c>
      <x:c r="C714" s="15" t="str">
        <x:v>Calzado</x:v>
      </x:c>
      <x:c r="D714" s="15" t="str">
        <x:v>Tienda</x:v>
      </x:c>
      <x:c r="E714" s="15" t="n">
        <x:v>1</x:v>
      </x:c>
      <x:c r="F714" s="15" t="n">
        <x:v>0</x:v>
      </x:c>
      <x:c r="G714" s="19" t="n">
        <x:v>90</x:v>
      </x:c>
      <x:c r="H714" s="19" t="n">
        <x:v>42</x:v>
      </x:c>
      <x:c r="I714" s="17" t="n">
        <x:v>0.2</x:v>
      </x:c>
      <x:c r="J714" s="19" t="n">
        <x:v>2</x:v>
      </x:c>
      <x:c r="K714" s="19" t="n">
        <x:f>E714*G714</x:f>
        <x:v>90</x:v>
      </x:c>
      <x:c r="L714" s="19" t="n">
        <x:f>K714*I714</x:f>
        <x:v>18</x:v>
      </x:c>
      <x:c r="M714" s="19" t="n">
        <x:f>(E714-F714)*G714*(1-I714)</x:f>
        <x:v>72</x:v>
      </x:c>
      <x:c r="N714" s="19" t="n">
        <x:f>(E714-F714)*H714</x:f>
        <x:v>42</x:v>
      </x:c>
      <x:c r="O714" s="19" t="n">
        <x:f>F714*J714</x:f>
        <x:v>0</x:v>
      </x:c>
      <x:c r="P714" s="19" t="n">
        <x:f>M714-N714-O714</x:f>
        <x:v>30</x:v>
      </x:c>
    </x:row>
    <x:row r="715">
      <x:c r="A715" s="15" t="str">
        <x:v>SIM-0711</x:v>
      </x:c>
      <x:c r="B715" s="15" t="str">
        <x:v>2026-04</x:v>
      </x:c>
      <x:c r="C715" s="15" t="str">
        <x:v>Calzado</x:v>
      </x:c>
      <x:c r="D715" s="15" t="str">
        <x:v>Tienda</x:v>
      </x:c>
      <x:c r="E715" s="15" t="n">
        <x:v>1</x:v>
      </x:c>
      <x:c r="F715" s="15" t="n">
        <x:v>0</x:v>
      </x:c>
      <x:c r="G715" s="19" t="n">
        <x:v>90</x:v>
      </x:c>
      <x:c r="H715" s="19" t="n">
        <x:v>42</x:v>
      </x:c>
      <x:c r="I715" s="17" t="n">
        <x:v>0.1</x:v>
      </x:c>
      <x:c r="J715" s="19" t="n">
        <x:v>2</x:v>
      </x:c>
      <x:c r="K715" s="19" t="n">
        <x:f>E715*G715</x:f>
        <x:v>90</x:v>
      </x:c>
      <x:c r="L715" s="19" t="n">
        <x:f>K715*I715</x:f>
        <x:v>9</x:v>
      </x:c>
      <x:c r="M715" s="19" t="n">
        <x:f>(E715-F715)*G715*(1-I715)</x:f>
        <x:v>81</x:v>
      </x:c>
      <x:c r="N715" s="19" t="n">
        <x:f>(E715-F715)*H715</x:f>
        <x:v>42</x:v>
      </x:c>
      <x:c r="O715" s="19" t="n">
        <x:f>F715*J715</x:f>
        <x:v>0</x:v>
      </x:c>
      <x:c r="P715" s="19" t="n">
        <x:f>M715-N715-O715</x:f>
        <x:v>39</x:v>
      </x:c>
    </x:row>
    <x:row r="716">
      <x:c r="A716" s="15" t="str">
        <x:v>SIM-0712</x:v>
      </x:c>
      <x:c r="B716" s="15" t="str">
        <x:v>2026-04</x:v>
      </x:c>
      <x:c r="C716" s="15" t="str">
        <x:v>Prendas</x:v>
      </x:c>
      <x:c r="D716" s="15" t="str">
        <x:v>Online</x:v>
      </x:c>
      <x:c r="E716" s="15" t="n">
        <x:v>1</x:v>
      </x:c>
      <x:c r="F716" s="15" t="n">
        <x:v>0</x:v>
      </x:c>
      <x:c r="G716" s="19" t="n">
        <x:v>60</x:v>
      </x:c>
      <x:c r="H716" s="19" t="n">
        <x:v>24</x:v>
      </x:c>
      <x:c r="I716" s="17" t="n">
        <x:v>0.1</x:v>
      </x:c>
      <x:c r="J716" s="19" t="n">
        <x:v>6</x:v>
      </x:c>
      <x:c r="K716" s="19" t="n">
        <x:f>E716*G716</x:f>
        <x:v>60</x:v>
      </x:c>
      <x:c r="L716" s="19" t="n">
        <x:f>K716*I716</x:f>
        <x:v>6</x:v>
      </x:c>
      <x:c r="M716" s="19" t="n">
        <x:f>(E716-F716)*G716*(1-I716)</x:f>
        <x:v>54</x:v>
      </x:c>
      <x:c r="N716" s="19" t="n">
        <x:f>(E716-F716)*H716</x:f>
        <x:v>24</x:v>
      </x:c>
      <x:c r="O716" s="19" t="n">
        <x:f>F716*J716</x:f>
        <x:v>0</x:v>
      </x:c>
      <x:c r="P716" s="19" t="n">
        <x:f>M716-N716-O716</x:f>
        <x:v>30</x:v>
      </x:c>
    </x:row>
    <x:row r="717">
      <x:c r="A717" s="15" t="str">
        <x:v>SIM-0713</x:v>
      </x:c>
      <x:c r="B717" s="15" t="str">
        <x:v>2026-04</x:v>
      </x:c>
      <x:c r="C717" s="15" t="str">
        <x:v>Prendas</x:v>
      </x:c>
      <x:c r="D717" s="15" t="str">
        <x:v>Tienda</x:v>
      </x:c>
      <x:c r="E717" s="15" t="n">
        <x:v>1</x:v>
      </x:c>
      <x:c r="F717" s="15" t="n">
        <x:v>0</x:v>
      </x:c>
      <x:c r="G717" s="19" t="n">
        <x:v>60</x:v>
      </x:c>
      <x:c r="H717" s="19" t="n">
        <x:v>24</x:v>
      </x:c>
      <x:c r="I717" s="17" t="n">
        <x:v>0.3</x:v>
      </x:c>
      <x:c r="J717" s="19" t="n">
        <x:v>2</x:v>
      </x:c>
      <x:c r="K717" s="19" t="n">
        <x:f>E717*G717</x:f>
        <x:v>60</x:v>
      </x:c>
      <x:c r="L717" s="19" t="n">
        <x:f>K717*I717</x:f>
        <x:v>18</x:v>
      </x:c>
      <x:c r="M717" s="19" t="n">
        <x:f>(E717-F717)*G717*(1-I717)</x:f>
        <x:v>42</x:v>
      </x:c>
      <x:c r="N717" s="19" t="n">
        <x:f>(E717-F717)*H717</x:f>
        <x:v>24</x:v>
      </x:c>
      <x:c r="O717" s="19" t="n">
        <x:f>F717*J717</x:f>
        <x:v>0</x:v>
      </x:c>
      <x:c r="P717" s="19" t="n">
        <x:f>M717-N717-O717</x:f>
        <x:v>18</x:v>
      </x:c>
    </x:row>
    <x:row r="718">
      <x:c r="A718" s="15" t="str">
        <x:v>SIM-0714</x:v>
      </x:c>
      <x:c r="B718" s="15" t="str">
        <x:v>2026-04</x:v>
      </x:c>
      <x:c r="C718" s="15" t="str">
        <x:v>Prendas</x:v>
      </x:c>
      <x:c r="D718" s="15" t="str">
        <x:v>Tienda</x:v>
      </x:c>
      <x:c r="E718" s="15" t="n">
        <x:v>1</x:v>
      </x:c>
      <x:c r="F718" s="15" t="n">
        <x:v>0</x:v>
      </x:c>
      <x:c r="G718" s="19" t="n">
        <x:v>60</x:v>
      </x:c>
      <x:c r="H718" s="19" t="n">
        <x:v>24</x:v>
      </x:c>
      <x:c r="I718" s="17" t="n">
        <x:v>0</x:v>
      </x:c>
      <x:c r="J718" s="19" t="n">
        <x:v>2</x:v>
      </x:c>
      <x:c r="K718" s="19" t="n">
        <x:f>E718*G718</x:f>
        <x:v>60</x:v>
      </x:c>
      <x:c r="L718" s="19" t="n">
        <x:f>K718*I718</x:f>
        <x:v>0</x:v>
      </x:c>
      <x:c r="M718" s="19" t="n">
        <x:f>(E718-F718)*G718*(1-I718)</x:f>
        <x:v>60</x:v>
      </x:c>
      <x:c r="N718" s="19" t="n">
        <x:f>(E718-F718)*H718</x:f>
        <x:v>24</x:v>
      </x:c>
      <x:c r="O718" s="19" t="n">
        <x:f>F718*J718</x:f>
        <x:v>0</x:v>
      </x:c>
      <x:c r="P718" s="19" t="n">
        <x:f>M718-N718-O718</x:f>
        <x:v>36</x:v>
      </x:c>
    </x:row>
    <x:row r="719">
      <x:c r="A719" s="15" t="str">
        <x:v>SIM-0715</x:v>
      </x:c>
      <x:c r="B719" s="15" t="str">
        <x:v>2026-04</x:v>
      </x:c>
      <x:c r="C719" s="15" t="str">
        <x:v>Prendas</x:v>
      </x:c>
      <x:c r="D719" s="15" t="str">
        <x:v>Tienda</x:v>
      </x:c>
      <x:c r="E719" s="15" t="n">
        <x:v>2</x:v>
      </x:c>
      <x:c r="F719" s="15" t="n">
        <x:v>1</x:v>
      </x:c>
      <x:c r="G719" s="19" t="n">
        <x:v>60</x:v>
      </x:c>
      <x:c r="H719" s="19" t="n">
        <x:v>24</x:v>
      </x:c>
      <x:c r="I719" s="17" t="n">
        <x:v>0.3</x:v>
      </x:c>
      <x:c r="J719" s="19" t="n">
        <x:v>2</x:v>
      </x:c>
      <x:c r="K719" s="19" t="n">
        <x:f>E719*G719</x:f>
        <x:v>120</x:v>
      </x:c>
      <x:c r="L719" s="19" t="n">
        <x:f>K719*I719</x:f>
        <x:v>36</x:v>
      </x:c>
      <x:c r="M719" s="19" t="n">
        <x:f>(E719-F719)*G719*(1-I719)</x:f>
        <x:v>42</x:v>
      </x:c>
      <x:c r="N719" s="19" t="n">
        <x:f>(E719-F719)*H719</x:f>
        <x:v>24</x:v>
      </x:c>
      <x:c r="O719" s="19" t="n">
        <x:f>F719*J719</x:f>
        <x:v>2</x:v>
      </x:c>
      <x:c r="P719" s="19" t="n">
        <x:f>M719-N719-O719</x:f>
        <x:v>16</x:v>
      </x:c>
    </x:row>
    <x:row r="720">
      <x:c r="A720" s="15" t="str">
        <x:v>SIM-0716</x:v>
      </x:c>
      <x:c r="B720" s="15" t="str">
        <x:v>2026-04</x:v>
      </x:c>
      <x:c r="C720" s="15" t="str">
        <x:v>Prendas</x:v>
      </x:c>
      <x:c r="D720" s="15" t="str">
        <x:v>Tienda</x:v>
      </x:c>
      <x:c r="E720" s="15" t="n">
        <x:v>1</x:v>
      </x:c>
      <x:c r="F720" s="15" t="n">
        <x:v>0</x:v>
      </x:c>
      <x:c r="G720" s="19" t="n">
        <x:v>60</x:v>
      </x:c>
      <x:c r="H720" s="19" t="n">
        <x:v>24</x:v>
      </x:c>
      <x:c r="I720" s="17" t="n">
        <x:v>0.3</x:v>
      </x:c>
      <x:c r="J720" s="19" t="n">
        <x:v>2</x:v>
      </x:c>
      <x:c r="K720" s="19" t="n">
        <x:f>E720*G720</x:f>
        <x:v>60</x:v>
      </x:c>
      <x:c r="L720" s="19" t="n">
        <x:f>K720*I720</x:f>
        <x:v>18</x:v>
      </x:c>
      <x:c r="M720" s="19" t="n">
        <x:f>(E720-F720)*G720*(1-I720)</x:f>
        <x:v>42</x:v>
      </x:c>
      <x:c r="N720" s="19" t="n">
        <x:f>(E720-F720)*H720</x:f>
        <x:v>24</x:v>
      </x:c>
      <x:c r="O720" s="19" t="n">
        <x:f>F720*J720</x:f>
        <x:v>0</x:v>
      </x:c>
      <x:c r="P720" s="19" t="n">
        <x:f>M720-N720-O720</x:f>
        <x:v>18</x:v>
      </x:c>
    </x:row>
    <x:row r="721">
      <x:c r="A721" s="15" t="str">
        <x:v>SIM-0717</x:v>
      </x:c>
      <x:c r="B721" s="15" t="str">
        <x:v>2026-04</x:v>
      </x:c>
      <x:c r="C721" s="15" t="str">
        <x:v>Calzado</x:v>
      </x:c>
      <x:c r="D721" s="15" t="str">
        <x:v>Online</x:v>
      </x:c>
      <x:c r="E721" s="15" t="n">
        <x:v>1</x:v>
      </x:c>
      <x:c r="F721" s="15" t="n">
        <x:v>0</x:v>
      </x:c>
      <x:c r="G721" s="19" t="n">
        <x:v>90</x:v>
      </x:c>
      <x:c r="H721" s="19" t="n">
        <x:v>42</x:v>
      </x:c>
      <x:c r="I721" s="17" t="n">
        <x:v>0.1</x:v>
      </x:c>
      <x:c r="J721" s="19" t="n">
        <x:v>6</x:v>
      </x:c>
      <x:c r="K721" s="19" t="n">
        <x:f>E721*G721</x:f>
        <x:v>90</x:v>
      </x:c>
      <x:c r="L721" s="19" t="n">
        <x:f>K721*I721</x:f>
        <x:v>9</x:v>
      </x:c>
      <x:c r="M721" s="19" t="n">
        <x:f>(E721-F721)*G721*(1-I721)</x:f>
        <x:v>81</x:v>
      </x:c>
      <x:c r="N721" s="19" t="n">
        <x:f>(E721-F721)*H721</x:f>
        <x:v>42</x:v>
      </x:c>
      <x:c r="O721" s="19" t="n">
        <x:f>F721*J721</x:f>
        <x:v>0</x:v>
      </x:c>
      <x:c r="P721" s="19" t="n">
        <x:f>M721-N721-O721</x:f>
        <x:v>39</x:v>
      </x:c>
    </x:row>
    <x:row r="722">
      <x:c r="A722" s="15" t="str">
        <x:v>SIM-0718</x:v>
      </x:c>
      <x:c r="B722" s="15" t="str">
        <x:v>2026-04</x:v>
      </x:c>
      <x:c r="C722" s="15" t="str">
        <x:v>Accesorios</x:v>
      </x:c>
      <x:c r="D722" s="15" t="str">
        <x:v>Online</x:v>
      </x:c>
      <x:c r="E722" s="15" t="n">
        <x:v>1</x:v>
      </x:c>
      <x:c r="F722" s="15" t="n">
        <x:v>0</x:v>
      </x:c>
      <x:c r="G722" s="19" t="n">
        <x:v>30</x:v>
      </x:c>
      <x:c r="H722" s="19" t="n">
        <x:v>9</x:v>
      </x:c>
      <x:c r="I722" s="17" t="n">
        <x:v>0</x:v>
      </x:c>
      <x:c r="J722" s="19" t="n">
        <x:v>6</x:v>
      </x:c>
      <x:c r="K722" s="19" t="n">
        <x:f>E722*G722</x:f>
        <x:v>30</x:v>
      </x:c>
      <x:c r="L722" s="19" t="n">
        <x:f>K722*I722</x:f>
        <x:v>0</x:v>
      </x:c>
      <x:c r="M722" s="19" t="n">
        <x:f>(E722-F722)*G722*(1-I722)</x:f>
        <x:v>30</x:v>
      </x:c>
      <x:c r="N722" s="19" t="n">
        <x:f>(E722-F722)*H722</x:f>
        <x:v>9</x:v>
      </x:c>
      <x:c r="O722" s="19" t="n">
        <x:f>F722*J722</x:f>
        <x:v>0</x:v>
      </x:c>
      <x:c r="P722" s="19" t="n">
        <x:f>M722-N722-O722</x:f>
        <x:v>21</x:v>
      </x:c>
    </x:row>
    <x:row r="723">
      <x:c r="A723" s="15" t="str">
        <x:v>SIM-0719</x:v>
      </x:c>
      <x:c r="B723" s="15" t="str">
        <x:v>2026-04</x:v>
      </x:c>
      <x:c r="C723" s="15" t="str">
        <x:v>Calzado</x:v>
      </x:c>
      <x:c r="D723" s="15" t="str">
        <x:v>Online</x:v>
      </x:c>
      <x:c r="E723" s="15" t="n">
        <x:v>2</x:v>
      </x:c>
      <x:c r="F723" s="15" t="n">
        <x:v>0</x:v>
      </x:c>
      <x:c r="G723" s="19" t="n">
        <x:v>90</x:v>
      </x:c>
      <x:c r="H723" s="19" t="n">
        <x:v>42</x:v>
      </x:c>
      <x:c r="I723" s="17" t="n">
        <x:v>0.3</x:v>
      </x:c>
      <x:c r="J723" s="19" t="n">
        <x:v>6</x:v>
      </x:c>
      <x:c r="K723" s="19" t="n">
        <x:f>E723*G723</x:f>
        <x:v>180</x:v>
      </x:c>
      <x:c r="L723" s="19" t="n">
        <x:f>K723*I723</x:f>
        <x:v>54</x:v>
      </x:c>
      <x:c r="M723" s="19" t="n">
        <x:f>(E723-F723)*G723*(1-I723)</x:f>
        <x:v>125.99999999999999</x:v>
      </x:c>
      <x:c r="N723" s="19" t="n">
        <x:f>(E723-F723)*H723</x:f>
        <x:v>84</x:v>
      </x:c>
      <x:c r="O723" s="19" t="n">
        <x:f>F723*J723</x:f>
        <x:v>0</x:v>
      </x:c>
      <x:c r="P723" s="19" t="n">
        <x:f>M723-N723-O723</x:f>
        <x:v>41.999999999999986</x:v>
      </x:c>
    </x:row>
    <x:row r="724">
      <x:c r="A724" s="15" t="str">
        <x:v>SIM-0720</x:v>
      </x:c>
      <x:c r="B724" s="15" t="str">
        <x:v>2026-04</x:v>
      </x:c>
      <x:c r="C724" s="15" t="str">
        <x:v>Prendas</x:v>
      </x:c>
      <x:c r="D724" s="15" t="str">
        <x:v>Online</x:v>
      </x:c>
      <x:c r="E724" s="15" t="n">
        <x:v>1</x:v>
      </x:c>
      <x:c r="F724" s="15" t="n">
        <x:v>0</x:v>
      </x:c>
      <x:c r="G724" s="19" t="n">
        <x:v>60</x:v>
      </x:c>
      <x:c r="H724" s="19" t="n">
        <x:v>24</x:v>
      </x:c>
      <x:c r="I724" s="17" t="n">
        <x:v>0</x:v>
      </x:c>
      <x:c r="J724" s="19" t="n">
        <x:v>6</x:v>
      </x:c>
      <x:c r="K724" s="19" t="n">
        <x:f>E724*G724</x:f>
        <x:v>60</x:v>
      </x:c>
      <x:c r="L724" s="19" t="n">
        <x:f>K724*I724</x:f>
        <x:v>0</x:v>
      </x:c>
      <x:c r="M724" s="19" t="n">
        <x:f>(E724-F724)*G724*(1-I724)</x:f>
        <x:v>60</x:v>
      </x:c>
      <x:c r="N724" s="19" t="n">
        <x:f>(E724-F724)*H724</x:f>
        <x:v>24</x:v>
      </x:c>
      <x:c r="O724" s="19" t="n">
        <x:f>F724*J724</x:f>
        <x:v>0</x:v>
      </x:c>
      <x:c r="P724" s="19" t="n">
        <x:f>M724-N724-O724</x:f>
        <x:v>36</x:v>
      </x:c>
    </x:row>
    <x:row r="725">
      <x:c r="A725" s="15" t="str">
        <x:v>SIM-0721</x:v>
      </x:c>
      <x:c r="B725" s="15" t="str">
        <x:v>2026-04</x:v>
      </x:c>
      <x:c r="C725" s="15" t="str">
        <x:v>Calzado</x:v>
      </x:c>
      <x:c r="D725" s="15" t="str">
        <x:v>Tienda</x:v>
      </x:c>
      <x:c r="E725" s="15" t="n">
        <x:v>1</x:v>
      </x:c>
      <x:c r="F725" s="15" t="n">
        <x:v>0</x:v>
      </x:c>
      <x:c r="G725" s="19" t="n">
        <x:v>90</x:v>
      </x:c>
      <x:c r="H725" s="19" t="n">
        <x:v>42</x:v>
      </x:c>
      <x:c r="I725" s="17" t="n">
        <x:v>0.2</x:v>
      </x:c>
      <x:c r="J725" s="19" t="n">
        <x:v>2</x:v>
      </x:c>
      <x:c r="K725" s="19" t="n">
        <x:f>E725*G725</x:f>
        <x:v>90</x:v>
      </x:c>
      <x:c r="L725" s="19" t="n">
        <x:f>K725*I725</x:f>
        <x:v>18</x:v>
      </x:c>
      <x:c r="M725" s="19" t="n">
        <x:f>(E725-F725)*G725*(1-I725)</x:f>
        <x:v>72</x:v>
      </x:c>
      <x:c r="N725" s="19" t="n">
        <x:f>(E725-F725)*H725</x:f>
        <x:v>42</x:v>
      </x:c>
      <x:c r="O725" s="19" t="n">
        <x:f>F725*J725</x:f>
        <x:v>0</x:v>
      </x:c>
      <x:c r="P725" s="19" t="n">
        <x:f>M725-N725-O725</x:f>
        <x:v>30</x:v>
      </x:c>
    </x:row>
    <x:row r="726">
      <x:c r="A726" s="15" t="str">
        <x:v>SIM-0722</x:v>
      </x:c>
      <x:c r="B726" s="15" t="str">
        <x:v>2026-04</x:v>
      </x:c>
      <x:c r="C726" s="15" t="str">
        <x:v>Calzado</x:v>
      </x:c>
      <x:c r="D726" s="15" t="str">
        <x:v>Online</x:v>
      </x:c>
      <x:c r="E726" s="15" t="n">
        <x:v>1</x:v>
      </x:c>
      <x:c r="F726" s="15" t="n">
        <x:v>0</x:v>
      </x:c>
      <x:c r="G726" s="19" t="n">
        <x:v>90</x:v>
      </x:c>
      <x:c r="H726" s="19" t="n">
        <x:v>42</x:v>
      </x:c>
      <x:c r="I726" s="17" t="n">
        <x:v>0</x:v>
      </x:c>
      <x:c r="J726" s="19" t="n">
        <x:v>6</x:v>
      </x:c>
      <x:c r="K726" s="19" t="n">
        <x:f>E726*G726</x:f>
        <x:v>90</x:v>
      </x:c>
      <x:c r="L726" s="19" t="n">
        <x:f>K726*I726</x:f>
        <x:v>0</x:v>
      </x:c>
      <x:c r="M726" s="19" t="n">
        <x:f>(E726-F726)*G726*(1-I726)</x:f>
        <x:v>90</x:v>
      </x:c>
      <x:c r="N726" s="19" t="n">
        <x:f>(E726-F726)*H726</x:f>
        <x:v>42</x:v>
      </x:c>
      <x:c r="O726" s="19" t="n">
        <x:f>F726*J726</x:f>
        <x:v>0</x:v>
      </x:c>
      <x:c r="P726" s="19" t="n">
        <x:f>M726-N726-O726</x:f>
        <x:v>48</x:v>
      </x:c>
    </x:row>
    <x:row r="727">
      <x:c r="A727" s="15" t="str">
        <x:v>SIM-0723</x:v>
      </x:c>
      <x:c r="B727" s="15" t="str">
        <x:v>2026-04</x:v>
      </x:c>
      <x:c r="C727" s="15" t="str">
        <x:v>Accesorios</x:v>
      </x:c>
      <x:c r="D727" s="15" t="str">
        <x:v>Online</x:v>
      </x:c>
      <x:c r="E727" s="15" t="n">
        <x:v>2</x:v>
      </x:c>
      <x:c r="F727" s="15" t="n">
        <x:v>0</x:v>
      </x:c>
      <x:c r="G727" s="19" t="n">
        <x:v>30</x:v>
      </x:c>
      <x:c r="H727" s="19" t="n">
        <x:v>9</x:v>
      </x:c>
      <x:c r="I727" s="17" t="n">
        <x:v>0</x:v>
      </x:c>
      <x:c r="J727" s="19" t="n">
        <x:v>6</x:v>
      </x:c>
      <x:c r="K727" s="19" t="n">
        <x:f>E727*G727</x:f>
        <x:v>60</x:v>
      </x:c>
      <x:c r="L727" s="19" t="n">
        <x:f>K727*I727</x:f>
        <x:v>0</x:v>
      </x:c>
      <x:c r="M727" s="19" t="n">
        <x:f>(E727-F727)*G727*(1-I727)</x:f>
        <x:v>60</x:v>
      </x:c>
      <x:c r="N727" s="19" t="n">
        <x:f>(E727-F727)*H727</x:f>
        <x:v>18</x:v>
      </x:c>
      <x:c r="O727" s="19" t="n">
        <x:f>F727*J727</x:f>
        <x:v>0</x:v>
      </x:c>
      <x:c r="P727" s="19" t="n">
        <x:f>M727-N727-O727</x:f>
        <x:v>42</x:v>
      </x:c>
    </x:row>
    <x:row r="728">
      <x:c r="A728" s="15" t="str">
        <x:v>SIM-0724</x:v>
      </x:c>
      <x:c r="B728" s="15" t="str">
        <x:v>2026-04</x:v>
      </x:c>
      <x:c r="C728" s="15" t="str">
        <x:v>Calzado</x:v>
      </x:c>
      <x:c r="D728" s="15" t="str">
        <x:v>Online</x:v>
      </x:c>
      <x:c r="E728" s="15" t="n">
        <x:v>3</x:v>
      </x:c>
      <x:c r="F728" s="15" t="n">
        <x:v>1</x:v>
      </x:c>
      <x:c r="G728" s="19" t="n">
        <x:v>90</x:v>
      </x:c>
      <x:c r="H728" s="19" t="n">
        <x:v>42</x:v>
      </x:c>
      <x:c r="I728" s="17" t="n">
        <x:v>0.3</x:v>
      </x:c>
      <x:c r="J728" s="19" t="n">
        <x:v>6</x:v>
      </x:c>
      <x:c r="K728" s="19" t="n">
        <x:f>E728*G728</x:f>
        <x:v>270</x:v>
      </x:c>
      <x:c r="L728" s="19" t="n">
        <x:f>K728*I728</x:f>
        <x:v>81</x:v>
      </x:c>
      <x:c r="M728" s="19" t="n">
        <x:f>(E728-F728)*G728*(1-I728)</x:f>
        <x:v>125.99999999999999</x:v>
      </x:c>
      <x:c r="N728" s="19" t="n">
        <x:f>(E728-F728)*H728</x:f>
        <x:v>84</x:v>
      </x:c>
      <x:c r="O728" s="19" t="n">
        <x:f>F728*J728</x:f>
        <x:v>6</x:v>
      </x:c>
      <x:c r="P728" s="19" t="n">
        <x:f>M728-N728-O728</x:f>
        <x:v>35.999999999999986</x:v>
      </x:c>
    </x:row>
    <x:row r="729">
      <x:c r="A729" s="15" t="str">
        <x:v>SIM-0725</x:v>
      </x:c>
      <x:c r="B729" s="15" t="str">
        <x:v>2026-04</x:v>
      </x:c>
      <x:c r="C729" s="15" t="str">
        <x:v>Prendas</x:v>
      </x:c>
      <x:c r="D729" s="15" t="str">
        <x:v>Tienda</x:v>
      </x:c>
      <x:c r="E729" s="15" t="n">
        <x:v>1</x:v>
      </x:c>
      <x:c r="F729" s="15" t="n">
        <x:v>0</x:v>
      </x:c>
      <x:c r="G729" s="19" t="n">
        <x:v>60</x:v>
      </x:c>
      <x:c r="H729" s="19" t="n">
        <x:v>24</x:v>
      </x:c>
      <x:c r="I729" s="17" t="n">
        <x:v>0.1</x:v>
      </x:c>
      <x:c r="J729" s="19" t="n">
        <x:v>2</x:v>
      </x:c>
      <x:c r="K729" s="19" t="n">
        <x:f>E729*G729</x:f>
        <x:v>60</x:v>
      </x:c>
      <x:c r="L729" s="19" t="n">
        <x:f>K729*I729</x:f>
        <x:v>6</x:v>
      </x:c>
      <x:c r="M729" s="19" t="n">
        <x:f>(E729-F729)*G729*(1-I729)</x:f>
        <x:v>54</x:v>
      </x:c>
      <x:c r="N729" s="19" t="n">
        <x:f>(E729-F729)*H729</x:f>
        <x:v>24</x:v>
      </x:c>
      <x:c r="O729" s="19" t="n">
        <x:f>F729*J729</x:f>
        <x:v>0</x:v>
      </x:c>
      <x:c r="P729" s="19" t="n">
        <x:f>M729-N729-O729</x:f>
        <x:v>30</x:v>
      </x:c>
    </x:row>
    <x:row r="730">
      <x:c r="A730" s="15" t="str">
        <x:v>SIM-0726</x:v>
      </x:c>
      <x:c r="B730" s="15" t="str">
        <x:v>2026-04</x:v>
      </x:c>
      <x:c r="C730" s="15" t="str">
        <x:v>Calzado</x:v>
      </x:c>
      <x:c r="D730" s="15" t="str">
        <x:v>Tienda</x:v>
      </x:c>
      <x:c r="E730" s="15" t="n">
        <x:v>1</x:v>
      </x:c>
      <x:c r="F730" s="15" t="n">
        <x:v>0</x:v>
      </x:c>
      <x:c r="G730" s="19" t="n">
        <x:v>90</x:v>
      </x:c>
      <x:c r="H730" s="19" t="n">
        <x:v>42</x:v>
      </x:c>
      <x:c r="I730" s="17" t="n">
        <x:v>0.2</x:v>
      </x:c>
      <x:c r="J730" s="19" t="n">
        <x:v>2</x:v>
      </x:c>
      <x:c r="K730" s="19" t="n">
        <x:f>E730*G730</x:f>
        <x:v>90</x:v>
      </x:c>
      <x:c r="L730" s="19" t="n">
        <x:f>K730*I730</x:f>
        <x:v>18</x:v>
      </x:c>
      <x:c r="M730" s="19" t="n">
        <x:f>(E730-F730)*G730*(1-I730)</x:f>
        <x:v>72</x:v>
      </x:c>
      <x:c r="N730" s="19" t="n">
        <x:f>(E730-F730)*H730</x:f>
        <x:v>42</x:v>
      </x:c>
      <x:c r="O730" s="19" t="n">
        <x:f>F730*J730</x:f>
        <x:v>0</x:v>
      </x:c>
      <x:c r="P730" s="19" t="n">
        <x:f>M730-N730-O730</x:f>
        <x:v>30</x:v>
      </x:c>
    </x:row>
    <x:row r="731">
      <x:c r="A731" s="15" t="str">
        <x:v>SIM-0727</x:v>
      </x:c>
      <x:c r="B731" s="15" t="str">
        <x:v>2026-04</x:v>
      </x:c>
      <x:c r="C731" s="15" t="str">
        <x:v>Calzado</x:v>
      </x:c>
      <x:c r="D731" s="15" t="str">
        <x:v>Online</x:v>
      </x:c>
      <x:c r="E731" s="15" t="n">
        <x:v>1</x:v>
      </x:c>
      <x:c r="F731" s="15" t="n">
        <x:v>0</x:v>
      </x:c>
      <x:c r="G731" s="19" t="n">
        <x:v>90</x:v>
      </x:c>
      <x:c r="H731" s="19" t="n">
        <x:v>42</x:v>
      </x:c>
      <x:c r="I731" s="17" t="n">
        <x:v>0</x:v>
      </x:c>
      <x:c r="J731" s="19" t="n">
        <x:v>6</x:v>
      </x:c>
      <x:c r="K731" s="19" t="n">
        <x:f>E731*G731</x:f>
        <x:v>90</x:v>
      </x:c>
      <x:c r="L731" s="19" t="n">
        <x:f>K731*I731</x:f>
        <x:v>0</x:v>
      </x:c>
      <x:c r="M731" s="19" t="n">
        <x:f>(E731-F731)*G731*(1-I731)</x:f>
        <x:v>90</x:v>
      </x:c>
      <x:c r="N731" s="19" t="n">
        <x:f>(E731-F731)*H731</x:f>
        <x:v>42</x:v>
      </x:c>
      <x:c r="O731" s="19" t="n">
        <x:f>F731*J731</x:f>
        <x:v>0</x:v>
      </x:c>
      <x:c r="P731" s="19" t="n">
        <x:f>M731-N731-O731</x:f>
        <x:v>48</x:v>
      </x:c>
    </x:row>
    <x:row r="732">
      <x:c r="A732" s="15" t="str">
        <x:v>SIM-0728</x:v>
      </x:c>
      <x:c r="B732" s="15" t="str">
        <x:v>2026-04</x:v>
      </x:c>
      <x:c r="C732" s="15" t="str">
        <x:v>Calzado</x:v>
      </x:c>
      <x:c r="D732" s="15" t="str">
        <x:v>Online</x:v>
      </x:c>
      <x:c r="E732" s="15" t="n">
        <x:v>2</x:v>
      </x:c>
      <x:c r="F732" s="15" t="n">
        <x:v>0</x:v>
      </x:c>
      <x:c r="G732" s="19" t="n">
        <x:v>90</x:v>
      </x:c>
      <x:c r="H732" s="19" t="n">
        <x:v>42</x:v>
      </x:c>
      <x:c r="I732" s="17" t="n">
        <x:v>0.1</x:v>
      </x:c>
      <x:c r="J732" s="19" t="n">
        <x:v>6</x:v>
      </x:c>
      <x:c r="K732" s="19" t="n">
        <x:f>E732*G732</x:f>
        <x:v>180</x:v>
      </x:c>
      <x:c r="L732" s="19" t="n">
        <x:f>K732*I732</x:f>
        <x:v>18</x:v>
      </x:c>
      <x:c r="M732" s="19" t="n">
        <x:f>(E732-F732)*G732*(1-I732)</x:f>
        <x:v>162</x:v>
      </x:c>
      <x:c r="N732" s="19" t="n">
        <x:f>(E732-F732)*H732</x:f>
        <x:v>84</x:v>
      </x:c>
      <x:c r="O732" s="19" t="n">
        <x:f>F732*J732</x:f>
        <x:v>0</x:v>
      </x:c>
      <x:c r="P732" s="19" t="n">
        <x:f>M732-N732-O732</x:f>
        <x:v>78</x:v>
      </x:c>
    </x:row>
    <x:row r="733">
      <x:c r="A733" s="15" t="str">
        <x:v>SIM-0729</x:v>
      </x:c>
      <x:c r="B733" s="15" t="str">
        <x:v>2026-04</x:v>
      </x:c>
      <x:c r="C733" s="15" t="str">
        <x:v>Prendas</x:v>
      </x:c>
      <x:c r="D733" s="15" t="str">
        <x:v>Online</x:v>
      </x:c>
      <x:c r="E733" s="15" t="n">
        <x:v>1</x:v>
      </x:c>
      <x:c r="F733" s="15" t="n">
        <x:v>0</x:v>
      </x:c>
      <x:c r="G733" s="19" t="n">
        <x:v>60</x:v>
      </x:c>
      <x:c r="H733" s="19" t="n">
        <x:v>24</x:v>
      </x:c>
      <x:c r="I733" s="17" t="n">
        <x:v>0.1</x:v>
      </x:c>
      <x:c r="J733" s="19" t="n">
        <x:v>6</x:v>
      </x:c>
      <x:c r="K733" s="19" t="n">
        <x:f>E733*G733</x:f>
        <x:v>60</x:v>
      </x:c>
      <x:c r="L733" s="19" t="n">
        <x:f>K733*I733</x:f>
        <x:v>6</x:v>
      </x:c>
      <x:c r="M733" s="19" t="n">
        <x:f>(E733-F733)*G733*(1-I733)</x:f>
        <x:v>54</x:v>
      </x:c>
      <x:c r="N733" s="19" t="n">
        <x:f>(E733-F733)*H733</x:f>
        <x:v>24</x:v>
      </x:c>
      <x:c r="O733" s="19" t="n">
        <x:f>F733*J733</x:f>
        <x:v>0</x:v>
      </x:c>
      <x:c r="P733" s="19" t="n">
        <x:f>M733-N733-O733</x:f>
        <x:v>30</x:v>
      </x:c>
    </x:row>
    <x:row r="734">
      <x:c r="A734" s="15" t="str">
        <x:v>SIM-0730</x:v>
      </x:c>
      <x:c r="B734" s="15" t="str">
        <x:v>2026-04</x:v>
      </x:c>
      <x:c r="C734" s="15" t="str">
        <x:v>Accesorios</x:v>
      </x:c>
      <x:c r="D734" s="15" t="str">
        <x:v>Tienda</x:v>
      </x:c>
      <x:c r="E734" s="15" t="n">
        <x:v>1</x:v>
      </x:c>
      <x:c r="F734" s="15" t="n">
        <x:v>0</x:v>
      </x:c>
      <x:c r="G734" s="19" t="n">
        <x:v>30</x:v>
      </x:c>
      <x:c r="H734" s="19" t="n">
        <x:v>9</x:v>
      </x:c>
      <x:c r="I734" s="17" t="n">
        <x:v>0.3</x:v>
      </x:c>
      <x:c r="J734" s="19" t="n">
        <x:v>2</x:v>
      </x:c>
      <x:c r="K734" s="19" t="n">
        <x:f>E734*G734</x:f>
        <x:v>30</x:v>
      </x:c>
      <x:c r="L734" s="19" t="n">
        <x:f>K734*I734</x:f>
        <x:v>9</x:v>
      </x:c>
      <x:c r="M734" s="19" t="n">
        <x:f>(E734-F734)*G734*(1-I734)</x:f>
        <x:v>21</x:v>
      </x:c>
      <x:c r="N734" s="19" t="n">
        <x:f>(E734-F734)*H734</x:f>
        <x:v>9</x:v>
      </x:c>
      <x:c r="O734" s="19" t="n">
        <x:f>F734*J734</x:f>
        <x:v>0</x:v>
      </x:c>
      <x:c r="P734" s="19" t="n">
        <x:f>M734-N734-O734</x:f>
        <x:v>12</x:v>
      </x:c>
    </x:row>
    <x:row r="735">
      <x:c r="A735" s="15" t="str">
        <x:v>SIM-0731</x:v>
      </x:c>
      <x:c r="B735" s="15" t="str">
        <x:v>2026-04</x:v>
      </x:c>
      <x:c r="C735" s="15" t="str">
        <x:v>Prendas</x:v>
      </x:c>
      <x:c r="D735" s="15" t="str">
        <x:v>Tienda</x:v>
      </x:c>
      <x:c r="E735" s="15" t="n">
        <x:v>2</x:v>
      </x:c>
      <x:c r="F735" s="15" t="n">
        <x:v>0</x:v>
      </x:c>
      <x:c r="G735" s="19" t="n">
        <x:v>60</x:v>
      </x:c>
      <x:c r="H735" s="19" t="n">
        <x:v>24</x:v>
      </x:c>
      <x:c r="I735" s="17" t="n">
        <x:v>0.1</x:v>
      </x:c>
      <x:c r="J735" s="19" t="n">
        <x:v>2</x:v>
      </x:c>
      <x:c r="K735" s="19" t="n">
        <x:f>E735*G735</x:f>
        <x:v>120</x:v>
      </x:c>
      <x:c r="L735" s="19" t="n">
        <x:f>K735*I735</x:f>
        <x:v>12</x:v>
      </x:c>
      <x:c r="M735" s="19" t="n">
        <x:f>(E735-F735)*G735*(1-I735)</x:f>
        <x:v>108</x:v>
      </x:c>
      <x:c r="N735" s="19" t="n">
        <x:f>(E735-F735)*H735</x:f>
        <x:v>48</x:v>
      </x:c>
      <x:c r="O735" s="19" t="n">
        <x:f>F735*J735</x:f>
        <x:v>0</x:v>
      </x:c>
      <x:c r="P735" s="19" t="n">
        <x:f>M735-N735-O735</x:f>
        <x:v>60</x:v>
      </x:c>
    </x:row>
    <x:row r="736">
      <x:c r="A736" s="15" t="str">
        <x:v>SIM-0732</x:v>
      </x:c>
      <x:c r="B736" s="15" t="str">
        <x:v>2026-04</x:v>
      </x:c>
      <x:c r="C736" s="15" t="str">
        <x:v>Calzado</x:v>
      </x:c>
      <x:c r="D736" s="15" t="str">
        <x:v>Online</x:v>
      </x:c>
      <x:c r="E736" s="15" t="n">
        <x:v>1</x:v>
      </x:c>
      <x:c r="F736" s="15" t="n">
        <x:v>0</x:v>
      </x:c>
      <x:c r="G736" s="19" t="n">
        <x:v>90</x:v>
      </x:c>
      <x:c r="H736" s="19" t="n">
        <x:v>42</x:v>
      </x:c>
      <x:c r="I736" s="17" t="n">
        <x:v>0.2</x:v>
      </x:c>
      <x:c r="J736" s="19" t="n">
        <x:v>6</x:v>
      </x:c>
      <x:c r="K736" s="19" t="n">
        <x:f>E736*G736</x:f>
        <x:v>90</x:v>
      </x:c>
      <x:c r="L736" s="19" t="n">
        <x:f>K736*I736</x:f>
        <x:v>18</x:v>
      </x:c>
      <x:c r="M736" s="19" t="n">
        <x:f>(E736-F736)*G736*(1-I736)</x:f>
        <x:v>72</x:v>
      </x:c>
      <x:c r="N736" s="19" t="n">
        <x:f>(E736-F736)*H736</x:f>
        <x:v>42</x:v>
      </x:c>
      <x:c r="O736" s="19" t="n">
        <x:f>F736*J736</x:f>
        <x:v>0</x:v>
      </x:c>
      <x:c r="P736" s="19" t="n">
        <x:f>M736-N736-O736</x:f>
        <x:v>30</x:v>
      </x:c>
    </x:row>
    <x:row r="737">
      <x:c r="A737" s="15" t="str">
        <x:v>SIM-0733</x:v>
      </x:c>
      <x:c r="B737" s="15" t="str">
        <x:v>2026-04</x:v>
      </x:c>
      <x:c r="C737" s="15" t="str">
        <x:v>Accesorios</x:v>
      </x:c>
      <x:c r="D737" s="15" t="str">
        <x:v>Tienda</x:v>
      </x:c>
      <x:c r="E737" s="15" t="n">
        <x:v>1</x:v>
      </x:c>
      <x:c r="F737" s="15" t="n">
        <x:v>0</x:v>
      </x:c>
      <x:c r="G737" s="19" t="n">
        <x:v>30</x:v>
      </x:c>
      <x:c r="H737" s="19" t="n">
        <x:v>9</x:v>
      </x:c>
      <x:c r="I737" s="17" t="n">
        <x:v>0</x:v>
      </x:c>
      <x:c r="J737" s="19" t="n">
        <x:v>2</x:v>
      </x:c>
      <x:c r="K737" s="19" t="n">
        <x:f>E737*G737</x:f>
        <x:v>30</x:v>
      </x:c>
      <x:c r="L737" s="19" t="n">
        <x:f>K737*I737</x:f>
        <x:v>0</x:v>
      </x:c>
      <x:c r="M737" s="19" t="n">
        <x:f>(E737-F737)*G737*(1-I737)</x:f>
        <x:v>30</x:v>
      </x:c>
      <x:c r="N737" s="19" t="n">
        <x:f>(E737-F737)*H737</x:f>
        <x:v>9</x:v>
      </x:c>
      <x:c r="O737" s="19" t="n">
        <x:f>F737*J737</x:f>
        <x:v>0</x:v>
      </x:c>
      <x:c r="P737" s="19" t="n">
        <x:f>M737-N737-O737</x:f>
        <x:v>21</x:v>
      </x:c>
    </x:row>
    <x:row r="738">
      <x:c r="A738" s="15" t="str">
        <x:v>SIM-0734</x:v>
      </x:c>
      <x:c r="B738" s="15" t="str">
        <x:v>2026-04</x:v>
      </x:c>
      <x:c r="C738" s="15" t="str">
        <x:v>Prendas</x:v>
      </x:c>
      <x:c r="D738" s="15" t="str">
        <x:v>Online</x:v>
      </x:c>
      <x:c r="E738" s="15" t="n">
        <x:v>1</x:v>
      </x:c>
      <x:c r="F738" s="15" t="n">
        <x:v>0</x:v>
      </x:c>
      <x:c r="G738" s="19" t="n">
        <x:v>60</x:v>
      </x:c>
      <x:c r="H738" s="19" t="n">
        <x:v>24</x:v>
      </x:c>
      <x:c r="I738" s="17" t="n">
        <x:v>0</x:v>
      </x:c>
      <x:c r="J738" s="19" t="n">
        <x:v>6</x:v>
      </x:c>
      <x:c r="K738" s="19" t="n">
        <x:f>E738*G738</x:f>
        <x:v>60</x:v>
      </x:c>
      <x:c r="L738" s="19" t="n">
        <x:f>K738*I738</x:f>
        <x:v>0</x:v>
      </x:c>
      <x:c r="M738" s="19" t="n">
        <x:f>(E738-F738)*G738*(1-I738)</x:f>
        <x:v>60</x:v>
      </x:c>
      <x:c r="N738" s="19" t="n">
        <x:f>(E738-F738)*H738</x:f>
        <x:v>24</x:v>
      </x:c>
      <x:c r="O738" s="19" t="n">
        <x:f>F738*J738</x:f>
        <x:v>0</x:v>
      </x:c>
      <x:c r="P738" s="19" t="n">
        <x:f>M738-N738-O738</x:f>
        <x:v>36</x:v>
      </x:c>
    </x:row>
    <x:row r="739">
      <x:c r="A739" s="15" t="str">
        <x:v>SIM-0735</x:v>
      </x:c>
      <x:c r="B739" s="15" t="str">
        <x:v>2026-04</x:v>
      </x:c>
      <x:c r="C739" s="15" t="str">
        <x:v>Accesorios</x:v>
      </x:c>
      <x:c r="D739" s="15" t="str">
        <x:v>Tienda</x:v>
      </x:c>
      <x:c r="E739" s="15" t="n">
        <x:v>1</x:v>
      </x:c>
      <x:c r="F739" s="15" t="n">
        <x:v>0</x:v>
      </x:c>
      <x:c r="G739" s="19" t="n">
        <x:v>30</x:v>
      </x:c>
      <x:c r="H739" s="19" t="n">
        <x:v>9</x:v>
      </x:c>
      <x:c r="I739" s="17" t="n">
        <x:v>0.2</x:v>
      </x:c>
      <x:c r="J739" s="19" t="n">
        <x:v>2</x:v>
      </x:c>
      <x:c r="K739" s="19" t="n">
        <x:f>E739*G739</x:f>
        <x:v>30</x:v>
      </x:c>
      <x:c r="L739" s="19" t="n">
        <x:f>K739*I739</x:f>
        <x:v>6</x:v>
      </x:c>
      <x:c r="M739" s="19" t="n">
        <x:f>(E739-F739)*G739*(1-I739)</x:f>
        <x:v>24</x:v>
      </x:c>
      <x:c r="N739" s="19" t="n">
        <x:f>(E739-F739)*H739</x:f>
        <x:v>9</x:v>
      </x:c>
      <x:c r="O739" s="19" t="n">
        <x:f>F739*J739</x:f>
        <x:v>0</x:v>
      </x:c>
      <x:c r="P739" s="19" t="n">
        <x:f>M739-N739-O739</x:f>
        <x:v>15</x:v>
      </x:c>
    </x:row>
    <x:row r="740">
      <x:c r="A740" s="15" t="str">
        <x:v>SIM-0736</x:v>
      </x:c>
      <x:c r="B740" s="15" t="str">
        <x:v>2026-04</x:v>
      </x:c>
      <x:c r="C740" s="15" t="str">
        <x:v>Prendas</x:v>
      </x:c>
      <x:c r="D740" s="15" t="str">
        <x:v>Tienda</x:v>
      </x:c>
      <x:c r="E740" s="15" t="n">
        <x:v>1</x:v>
      </x:c>
      <x:c r="F740" s="15" t="n">
        <x:v>0</x:v>
      </x:c>
      <x:c r="G740" s="19" t="n">
        <x:v>60</x:v>
      </x:c>
      <x:c r="H740" s="19" t="n">
        <x:v>24</x:v>
      </x:c>
      <x:c r="I740" s="17" t="n">
        <x:v>0</x:v>
      </x:c>
      <x:c r="J740" s="19" t="n">
        <x:v>2</x:v>
      </x:c>
      <x:c r="K740" s="19" t="n">
        <x:f>E740*G740</x:f>
        <x:v>60</x:v>
      </x:c>
      <x:c r="L740" s="19" t="n">
        <x:f>K740*I740</x:f>
        <x:v>0</x:v>
      </x:c>
      <x:c r="M740" s="19" t="n">
        <x:f>(E740-F740)*G740*(1-I740)</x:f>
        <x:v>60</x:v>
      </x:c>
      <x:c r="N740" s="19" t="n">
        <x:f>(E740-F740)*H740</x:f>
        <x:v>24</x:v>
      </x:c>
      <x:c r="O740" s="19" t="n">
        <x:f>F740*J740</x:f>
        <x:v>0</x:v>
      </x:c>
      <x:c r="P740" s="19" t="n">
        <x:f>M740-N740-O740</x:f>
        <x:v>36</x:v>
      </x:c>
    </x:row>
    <x:row r="741">
      <x:c r="A741" s="15" t="str">
        <x:v>SIM-0737</x:v>
      </x:c>
      <x:c r="B741" s="15" t="str">
        <x:v>2026-04</x:v>
      </x:c>
      <x:c r="C741" s="15" t="str">
        <x:v>Prendas</x:v>
      </x:c>
      <x:c r="D741" s="15" t="str">
        <x:v>Online</x:v>
      </x:c>
      <x:c r="E741" s="15" t="n">
        <x:v>3</x:v>
      </x:c>
      <x:c r="F741" s="15" t="n">
        <x:v>0</x:v>
      </x:c>
      <x:c r="G741" s="19" t="n">
        <x:v>60</x:v>
      </x:c>
      <x:c r="H741" s="19" t="n">
        <x:v>24</x:v>
      </x:c>
      <x:c r="I741" s="17" t="n">
        <x:v>0.1</x:v>
      </x:c>
      <x:c r="J741" s="19" t="n">
        <x:v>6</x:v>
      </x:c>
      <x:c r="K741" s="19" t="n">
        <x:f>E741*G741</x:f>
        <x:v>180</x:v>
      </x:c>
      <x:c r="L741" s="19" t="n">
        <x:f>K741*I741</x:f>
        <x:v>18</x:v>
      </x:c>
      <x:c r="M741" s="19" t="n">
        <x:f>(E741-F741)*G741*(1-I741)</x:f>
        <x:v>162</x:v>
      </x:c>
      <x:c r="N741" s="19" t="n">
        <x:f>(E741-F741)*H741</x:f>
        <x:v>72</x:v>
      </x:c>
      <x:c r="O741" s="19" t="n">
        <x:f>F741*J741</x:f>
        <x:v>0</x:v>
      </x:c>
      <x:c r="P741" s="19" t="n">
        <x:f>M741-N741-O741</x:f>
        <x:v>90</x:v>
      </x:c>
    </x:row>
    <x:row r="742">
      <x:c r="A742" s="15" t="str">
        <x:v>SIM-0738</x:v>
      </x:c>
      <x:c r="B742" s="15" t="str">
        <x:v>2026-04</x:v>
      </x:c>
      <x:c r="C742" s="15" t="str">
        <x:v>Accesorios</x:v>
      </x:c>
      <x:c r="D742" s="15" t="str">
        <x:v>Online</x:v>
      </x:c>
      <x:c r="E742" s="15" t="n">
        <x:v>1</x:v>
      </x:c>
      <x:c r="F742" s="15" t="n">
        <x:v>0</x:v>
      </x:c>
      <x:c r="G742" s="19" t="n">
        <x:v>30</x:v>
      </x:c>
      <x:c r="H742" s="19" t="n">
        <x:v>9</x:v>
      </x:c>
      <x:c r="I742" s="17" t="n">
        <x:v>0</x:v>
      </x:c>
      <x:c r="J742" s="19" t="n">
        <x:v>6</x:v>
      </x:c>
      <x:c r="K742" s="19" t="n">
        <x:f>E742*G742</x:f>
        <x:v>30</x:v>
      </x:c>
      <x:c r="L742" s="19" t="n">
        <x:f>K742*I742</x:f>
        <x:v>0</x:v>
      </x:c>
      <x:c r="M742" s="19" t="n">
        <x:f>(E742-F742)*G742*(1-I742)</x:f>
        <x:v>30</x:v>
      </x:c>
      <x:c r="N742" s="19" t="n">
        <x:f>(E742-F742)*H742</x:f>
        <x:v>9</x:v>
      </x:c>
      <x:c r="O742" s="19" t="n">
        <x:f>F742*J742</x:f>
        <x:v>0</x:v>
      </x:c>
      <x:c r="P742" s="19" t="n">
        <x:f>M742-N742-O742</x:f>
        <x:v>21</x:v>
      </x:c>
    </x:row>
    <x:row r="743">
      <x:c r="A743" s="15" t="str">
        <x:v>SIM-0739</x:v>
      </x:c>
      <x:c r="B743" s="15" t="str">
        <x:v>2026-04</x:v>
      </x:c>
      <x:c r="C743" s="15" t="str">
        <x:v>Prendas</x:v>
      </x:c>
      <x:c r="D743" s="15" t="str">
        <x:v>Online</x:v>
      </x:c>
      <x:c r="E743" s="15" t="n">
        <x:v>1</x:v>
      </x:c>
      <x:c r="F743" s="15" t="n">
        <x:v>0</x:v>
      </x:c>
      <x:c r="G743" s="19" t="n">
        <x:v>60</x:v>
      </x:c>
      <x:c r="H743" s="19" t="n">
        <x:v>24</x:v>
      </x:c>
      <x:c r="I743" s="17" t="n">
        <x:v>0</x:v>
      </x:c>
      <x:c r="J743" s="19" t="n">
        <x:v>6</x:v>
      </x:c>
      <x:c r="K743" s="19" t="n">
        <x:f>E743*G743</x:f>
        <x:v>60</x:v>
      </x:c>
      <x:c r="L743" s="19" t="n">
        <x:f>K743*I743</x:f>
        <x:v>0</x:v>
      </x:c>
      <x:c r="M743" s="19" t="n">
        <x:f>(E743-F743)*G743*(1-I743)</x:f>
        <x:v>60</x:v>
      </x:c>
      <x:c r="N743" s="19" t="n">
        <x:f>(E743-F743)*H743</x:f>
        <x:v>24</x:v>
      </x:c>
      <x:c r="O743" s="19" t="n">
        <x:f>F743*J743</x:f>
        <x:v>0</x:v>
      </x:c>
      <x:c r="P743" s="19" t="n">
        <x:f>M743-N743-O743</x:f>
        <x:v>36</x:v>
      </x:c>
    </x:row>
    <x:row r="744">
      <x:c r="A744" s="15" t="str">
        <x:v>SIM-0740</x:v>
      </x:c>
      <x:c r="B744" s="15" t="str">
        <x:v>2026-04</x:v>
      </x:c>
      <x:c r="C744" s="15" t="str">
        <x:v>Prendas</x:v>
      </x:c>
      <x:c r="D744" s="15" t="str">
        <x:v>Online</x:v>
      </x:c>
      <x:c r="E744" s="15" t="n">
        <x:v>1</x:v>
      </x:c>
      <x:c r="F744" s="15" t="n">
        <x:v>1</x:v>
      </x:c>
      <x:c r="G744" s="19" t="n">
        <x:v>60</x:v>
      </x:c>
      <x:c r="H744" s="19" t="n">
        <x:v>24</x:v>
      </x:c>
      <x:c r="I744" s="17" t="n">
        <x:v>0.2</x:v>
      </x:c>
      <x:c r="J744" s="19" t="n">
        <x:v>6</x:v>
      </x:c>
      <x:c r="K744" s="19" t="n">
        <x:f>E744*G744</x:f>
        <x:v>60</x:v>
      </x:c>
      <x:c r="L744" s="19" t="n">
        <x:f>K744*I744</x:f>
        <x:v>12</x:v>
      </x:c>
      <x:c r="M744" s="19" t="n">
        <x:f>(E744-F744)*G744*(1-I744)</x:f>
        <x:v>0</x:v>
      </x:c>
      <x:c r="N744" s="19" t="n">
        <x:f>(E744-F744)*H744</x:f>
        <x:v>0</x:v>
      </x:c>
      <x:c r="O744" s="19" t="n">
        <x:f>F744*J744</x:f>
        <x:v>6</x:v>
      </x:c>
      <x:c r="P744" s="19" t="n">
        <x:f>M744-N744-O744</x:f>
        <x:v>-6</x:v>
      </x:c>
    </x:row>
    <x:row r="745">
      <x:c r="A745" s="15" t="str">
        <x:v>SIM-0741</x:v>
      </x:c>
      <x:c r="B745" s="15" t="str">
        <x:v>2026-04</x:v>
      </x:c>
      <x:c r="C745" s="15" t="str">
        <x:v>Accesorios</x:v>
      </x:c>
      <x:c r="D745" s="15" t="str">
        <x:v>Online</x:v>
      </x:c>
      <x:c r="E745" s="15" t="n">
        <x:v>1</x:v>
      </x:c>
      <x:c r="F745" s="15" t="n">
        <x:v>0</x:v>
      </x:c>
      <x:c r="G745" s="19" t="n">
        <x:v>30</x:v>
      </x:c>
      <x:c r="H745" s="19" t="n">
        <x:v>9</x:v>
      </x:c>
      <x:c r="I745" s="17" t="n">
        <x:v>0.1</x:v>
      </x:c>
      <x:c r="J745" s="19" t="n">
        <x:v>6</x:v>
      </x:c>
      <x:c r="K745" s="19" t="n">
        <x:f>E745*G745</x:f>
        <x:v>30</x:v>
      </x:c>
      <x:c r="L745" s="19" t="n">
        <x:f>K745*I745</x:f>
        <x:v>3</x:v>
      </x:c>
      <x:c r="M745" s="19" t="n">
        <x:f>(E745-F745)*G745*(1-I745)</x:f>
        <x:v>27</x:v>
      </x:c>
      <x:c r="N745" s="19" t="n">
        <x:f>(E745-F745)*H745</x:f>
        <x:v>9</x:v>
      </x:c>
      <x:c r="O745" s="19" t="n">
        <x:f>F745*J745</x:f>
        <x:v>0</x:v>
      </x:c>
      <x:c r="P745" s="19" t="n">
        <x:f>M745-N745-O745</x:f>
        <x:v>18</x:v>
      </x:c>
    </x:row>
    <x:row r="746">
      <x:c r="A746" s="15" t="str">
        <x:v>SIM-0742</x:v>
      </x:c>
      <x:c r="B746" s="15" t="str">
        <x:v>2026-04</x:v>
      </x:c>
      <x:c r="C746" s="15" t="str">
        <x:v>Accesorios</x:v>
      </x:c>
      <x:c r="D746" s="15" t="str">
        <x:v>Tienda</x:v>
      </x:c>
      <x:c r="E746" s="15" t="n">
        <x:v>3</x:v>
      </x:c>
      <x:c r="F746" s="15" t="n">
        <x:v>0</x:v>
      </x:c>
      <x:c r="G746" s="19" t="n">
        <x:v>30</x:v>
      </x:c>
      <x:c r="H746" s="19" t="n">
        <x:v>9</x:v>
      </x:c>
      <x:c r="I746" s="17" t="n">
        <x:v>0.1</x:v>
      </x:c>
      <x:c r="J746" s="19" t="n">
        <x:v>2</x:v>
      </x:c>
      <x:c r="K746" s="19" t="n">
        <x:f>E746*G746</x:f>
        <x:v>90</x:v>
      </x:c>
      <x:c r="L746" s="19" t="n">
        <x:f>K746*I746</x:f>
        <x:v>9</x:v>
      </x:c>
      <x:c r="M746" s="19" t="n">
        <x:f>(E746-F746)*G746*(1-I746)</x:f>
        <x:v>81</x:v>
      </x:c>
      <x:c r="N746" s="19" t="n">
        <x:f>(E746-F746)*H746</x:f>
        <x:v>27</x:v>
      </x:c>
      <x:c r="O746" s="19" t="n">
        <x:f>F746*J746</x:f>
        <x:v>0</x:v>
      </x:c>
      <x:c r="P746" s="19" t="n">
        <x:f>M746-N746-O746</x:f>
        <x:v>54</x:v>
      </x:c>
    </x:row>
    <x:row r="747">
      <x:c r="A747" s="15" t="str">
        <x:v>SIM-0743</x:v>
      </x:c>
      <x:c r="B747" s="15" t="str">
        <x:v>2026-04</x:v>
      </x:c>
      <x:c r="C747" s="15" t="str">
        <x:v>Calzado</x:v>
      </x:c>
      <x:c r="D747" s="15" t="str">
        <x:v>Tienda</x:v>
      </x:c>
      <x:c r="E747" s="15" t="n">
        <x:v>1</x:v>
      </x:c>
      <x:c r="F747" s="15" t="n">
        <x:v>0</x:v>
      </x:c>
      <x:c r="G747" s="19" t="n">
        <x:v>90</x:v>
      </x:c>
      <x:c r="H747" s="19" t="n">
        <x:v>42</x:v>
      </x:c>
      <x:c r="I747" s="17" t="n">
        <x:v>0.3</x:v>
      </x:c>
      <x:c r="J747" s="19" t="n">
        <x:v>2</x:v>
      </x:c>
      <x:c r="K747" s="19" t="n">
        <x:f>E747*G747</x:f>
        <x:v>90</x:v>
      </x:c>
      <x:c r="L747" s="19" t="n">
        <x:f>K747*I747</x:f>
        <x:v>27</x:v>
      </x:c>
      <x:c r="M747" s="19" t="n">
        <x:f>(E747-F747)*G747*(1-I747)</x:f>
        <x:v>62.99999999999999</x:v>
      </x:c>
      <x:c r="N747" s="19" t="n">
        <x:f>(E747-F747)*H747</x:f>
        <x:v>42</x:v>
      </x:c>
      <x:c r="O747" s="19" t="n">
        <x:f>F747*J747</x:f>
        <x:v>0</x:v>
      </x:c>
      <x:c r="P747" s="19" t="n">
        <x:f>M747-N747-O747</x:f>
        <x:v>20.999999999999993</x:v>
      </x:c>
    </x:row>
    <x:row r="748">
      <x:c r="A748" s="15" t="str">
        <x:v>SIM-0744</x:v>
      </x:c>
      <x:c r="B748" s="15" t="str">
        <x:v>2026-04</x:v>
      </x:c>
      <x:c r="C748" s="15" t="str">
        <x:v>Prendas</x:v>
      </x:c>
      <x:c r="D748" s="15" t="str">
        <x:v>Online</x:v>
      </x:c>
      <x:c r="E748" s="15" t="n">
        <x:v>1</x:v>
      </x:c>
      <x:c r="F748" s="15" t="n">
        <x:v>0</x:v>
      </x:c>
      <x:c r="G748" s="19" t="n">
        <x:v>60</x:v>
      </x:c>
      <x:c r="H748" s="19" t="n">
        <x:v>24</x:v>
      </x:c>
      <x:c r="I748" s="17" t="n">
        <x:v>0.1</x:v>
      </x:c>
      <x:c r="J748" s="19" t="n">
        <x:v>6</x:v>
      </x:c>
      <x:c r="K748" s="19" t="n">
        <x:f>E748*G748</x:f>
        <x:v>60</x:v>
      </x:c>
      <x:c r="L748" s="19" t="n">
        <x:f>K748*I748</x:f>
        <x:v>6</x:v>
      </x:c>
      <x:c r="M748" s="19" t="n">
        <x:f>(E748-F748)*G748*(1-I748)</x:f>
        <x:v>54</x:v>
      </x:c>
      <x:c r="N748" s="19" t="n">
        <x:f>(E748-F748)*H748</x:f>
        <x:v>24</x:v>
      </x:c>
      <x:c r="O748" s="19" t="n">
        <x:f>F748*J748</x:f>
        <x:v>0</x:v>
      </x:c>
      <x:c r="P748" s="19" t="n">
        <x:f>M748-N748-O748</x:f>
        <x:v>30</x:v>
      </x:c>
    </x:row>
    <x:row r="749">
      <x:c r="A749" s="15" t="str">
        <x:v>SIM-0745</x:v>
      </x:c>
      <x:c r="B749" s="15" t="str">
        <x:v>2026-04</x:v>
      </x:c>
      <x:c r="C749" s="15" t="str">
        <x:v>Prendas</x:v>
      </x:c>
      <x:c r="D749" s="15" t="str">
        <x:v>Tienda</x:v>
      </x:c>
      <x:c r="E749" s="15" t="n">
        <x:v>1</x:v>
      </x:c>
      <x:c r="F749" s="15" t="n">
        <x:v>0</x:v>
      </x:c>
      <x:c r="G749" s="19" t="n">
        <x:v>60</x:v>
      </x:c>
      <x:c r="H749" s="19" t="n">
        <x:v>24</x:v>
      </x:c>
      <x:c r="I749" s="17" t="n">
        <x:v>0.2</x:v>
      </x:c>
      <x:c r="J749" s="19" t="n">
        <x:v>2</x:v>
      </x:c>
      <x:c r="K749" s="19" t="n">
        <x:f>E749*G749</x:f>
        <x:v>60</x:v>
      </x:c>
      <x:c r="L749" s="19" t="n">
        <x:f>K749*I749</x:f>
        <x:v>12</x:v>
      </x:c>
      <x:c r="M749" s="19" t="n">
        <x:f>(E749-F749)*G749*(1-I749)</x:f>
        <x:v>48</x:v>
      </x:c>
      <x:c r="N749" s="19" t="n">
        <x:f>(E749-F749)*H749</x:f>
        <x:v>24</x:v>
      </x:c>
      <x:c r="O749" s="19" t="n">
        <x:f>F749*J749</x:f>
        <x:v>0</x:v>
      </x:c>
      <x:c r="P749" s="19" t="n">
        <x:f>M749-N749-O749</x:f>
        <x:v>24</x:v>
      </x:c>
    </x:row>
    <x:row r="750">
      <x:c r="A750" s="15" t="str">
        <x:v>SIM-0746</x:v>
      </x:c>
      <x:c r="B750" s="15" t="str">
        <x:v>2026-04</x:v>
      </x:c>
      <x:c r="C750" s="15" t="str">
        <x:v>Accesorios</x:v>
      </x:c>
      <x:c r="D750" s="15" t="str">
        <x:v>Tienda</x:v>
      </x:c>
      <x:c r="E750" s="15" t="n">
        <x:v>3</x:v>
      </x:c>
      <x:c r="F750" s="15" t="n">
        <x:v>0</x:v>
      </x:c>
      <x:c r="G750" s="19" t="n">
        <x:v>30</x:v>
      </x:c>
      <x:c r="H750" s="19" t="n">
        <x:v>9</x:v>
      </x:c>
      <x:c r="I750" s="17" t="n">
        <x:v>0.3</x:v>
      </x:c>
      <x:c r="J750" s="19" t="n">
        <x:v>2</x:v>
      </x:c>
      <x:c r="K750" s="19" t="n">
        <x:f>E750*G750</x:f>
        <x:v>90</x:v>
      </x:c>
      <x:c r="L750" s="19" t="n">
        <x:f>K750*I750</x:f>
        <x:v>27</x:v>
      </x:c>
      <x:c r="M750" s="19" t="n">
        <x:f>(E750-F750)*G750*(1-I750)</x:f>
        <x:v>62.99999999999999</x:v>
      </x:c>
      <x:c r="N750" s="19" t="n">
        <x:f>(E750-F750)*H750</x:f>
        <x:v>27</x:v>
      </x:c>
      <x:c r="O750" s="19" t="n">
        <x:f>F750*J750</x:f>
        <x:v>0</x:v>
      </x:c>
      <x:c r="P750" s="19" t="n">
        <x:f>M750-N750-O750</x:f>
        <x:v>35.99999999999999</x:v>
      </x:c>
    </x:row>
    <x:row r="751">
      <x:c r="A751" s="15" t="str">
        <x:v>SIM-0747</x:v>
      </x:c>
      <x:c r="B751" s="15" t="str">
        <x:v>2026-04</x:v>
      </x:c>
      <x:c r="C751" s="15" t="str">
        <x:v>Prendas</x:v>
      </x:c>
      <x:c r="D751" s="15" t="str">
        <x:v>Online</x:v>
      </x:c>
      <x:c r="E751" s="15" t="n">
        <x:v>1</x:v>
      </x:c>
      <x:c r="F751" s="15" t="n">
        <x:v>0</x:v>
      </x:c>
      <x:c r="G751" s="19" t="n">
        <x:v>60</x:v>
      </x:c>
      <x:c r="H751" s="19" t="n">
        <x:v>24</x:v>
      </x:c>
      <x:c r="I751" s="17" t="n">
        <x:v>0</x:v>
      </x:c>
      <x:c r="J751" s="19" t="n">
        <x:v>6</x:v>
      </x:c>
      <x:c r="K751" s="19" t="n">
        <x:f>E751*G751</x:f>
        <x:v>60</x:v>
      </x:c>
      <x:c r="L751" s="19" t="n">
        <x:f>K751*I751</x:f>
        <x:v>0</x:v>
      </x:c>
      <x:c r="M751" s="19" t="n">
        <x:f>(E751-F751)*G751*(1-I751)</x:f>
        <x:v>60</x:v>
      </x:c>
      <x:c r="N751" s="19" t="n">
        <x:f>(E751-F751)*H751</x:f>
        <x:v>24</x:v>
      </x:c>
      <x:c r="O751" s="19" t="n">
        <x:f>F751*J751</x:f>
        <x:v>0</x:v>
      </x:c>
      <x:c r="P751" s="19" t="n">
        <x:f>M751-N751-O751</x:f>
        <x:v>36</x:v>
      </x:c>
    </x:row>
    <x:row r="752">
      <x:c r="A752" s="15" t="str">
        <x:v>SIM-0748</x:v>
      </x:c>
      <x:c r="B752" s="15" t="str">
        <x:v>2026-04</x:v>
      </x:c>
      <x:c r="C752" s="15" t="str">
        <x:v>Accesorios</x:v>
      </x:c>
      <x:c r="D752" s="15" t="str">
        <x:v>Tienda</x:v>
      </x:c>
      <x:c r="E752" s="15" t="n">
        <x:v>3</x:v>
      </x:c>
      <x:c r="F752" s="15" t="n">
        <x:v>1</x:v>
      </x:c>
      <x:c r="G752" s="19" t="n">
        <x:v>30</x:v>
      </x:c>
      <x:c r="H752" s="19" t="n">
        <x:v>9</x:v>
      </x:c>
      <x:c r="I752" s="17" t="n">
        <x:v>0</x:v>
      </x:c>
      <x:c r="J752" s="19" t="n">
        <x:v>2</x:v>
      </x:c>
      <x:c r="K752" s="19" t="n">
        <x:f>E752*G752</x:f>
        <x:v>90</x:v>
      </x:c>
      <x:c r="L752" s="19" t="n">
        <x:f>K752*I752</x:f>
        <x:v>0</x:v>
      </x:c>
      <x:c r="M752" s="19" t="n">
        <x:f>(E752-F752)*G752*(1-I752)</x:f>
        <x:v>60</x:v>
      </x:c>
      <x:c r="N752" s="19" t="n">
        <x:f>(E752-F752)*H752</x:f>
        <x:v>18</x:v>
      </x:c>
      <x:c r="O752" s="19" t="n">
        <x:f>F752*J752</x:f>
        <x:v>2</x:v>
      </x:c>
      <x:c r="P752" s="19" t="n">
        <x:f>M752-N752-O752</x:f>
        <x:v>40</x:v>
      </x:c>
    </x:row>
    <x:row r="753">
      <x:c r="A753" s="15" t="str">
        <x:v>SIM-0749</x:v>
      </x:c>
      <x:c r="B753" s="15" t="str">
        <x:v>2026-04</x:v>
      </x:c>
      <x:c r="C753" s="15" t="str">
        <x:v>Accesorios</x:v>
      </x:c>
      <x:c r="D753" s="15" t="str">
        <x:v>Online</x:v>
      </x:c>
      <x:c r="E753" s="15" t="n">
        <x:v>2</x:v>
      </x:c>
      <x:c r="F753" s="15" t="n">
        <x:v>0</x:v>
      </x:c>
      <x:c r="G753" s="19" t="n">
        <x:v>30</x:v>
      </x:c>
      <x:c r="H753" s="19" t="n">
        <x:v>9</x:v>
      </x:c>
      <x:c r="I753" s="17" t="n">
        <x:v>0</x:v>
      </x:c>
      <x:c r="J753" s="19" t="n">
        <x:v>6</x:v>
      </x:c>
      <x:c r="K753" s="19" t="n">
        <x:f>E753*G753</x:f>
        <x:v>60</x:v>
      </x:c>
      <x:c r="L753" s="19" t="n">
        <x:f>K753*I753</x:f>
        <x:v>0</x:v>
      </x:c>
      <x:c r="M753" s="19" t="n">
        <x:f>(E753-F753)*G753*(1-I753)</x:f>
        <x:v>60</x:v>
      </x:c>
      <x:c r="N753" s="19" t="n">
        <x:f>(E753-F753)*H753</x:f>
        <x:v>18</x:v>
      </x:c>
      <x:c r="O753" s="19" t="n">
        <x:f>F753*J753</x:f>
        <x:v>0</x:v>
      </x:c>
      <x:c r="P753" s="19" t="n">
        <x:f>M753-N753-O753</x:f>
        <x:v>42</x:v>
      </x:c>
    </x:row>
    <x:row r="754">
      <x:c r="A754" s="15" t="str">
        <x:v>SIM-0750</x:v>
      </x:c>
      <x:c r="B754" s="15" t="str">
        <x:v>2026-04</x:v>
      </x:c>
      <x:c r="C754" s="15" t="str">
        <x:v>Calzado</x:v>
      </x:c>
      <x:c r="D754" s="15" t="str">
        <x:v>Tienda</x:v>
      </x:c>
      <x:c r="E754" s="15" t="n">
        <x:v>1</x:v>
      </x:c>
      <x:c r="F754" s="15" t="n">
        <x:v>0</x:v>
      </x:c>
      <x:c r="G754" s="19" t="n">
        <x:v>90</x:v>
      </x:c>
      <x:c r="H754" s="19" t="n">
        <x:v>42</x:v>
      </x:c>
      <x:c r="I754" s="17" t="n">
        <x:v>0</x:v>
      </x:c>
      <x:c r="J754" s="19" t="n">
        <x:v>2</x:v>
      </x:c>
      <x:c r="K754" s="19" t="n">
        <x:f>E754*G754</x:f>
        <x:v>90</x:v>
      </x:c>
      <x:c r="L754" s="19" t="n">
        <x:f>K754*I754</x:f>
        <x:v>0</x:v>
      </x:c>
      <x:c r="M754" s="19" t="n">
        <x:f>(E754-F754)*G754*(1-I754)</x:f>
        <x:v>90</x:v>
      </x:c>
      <x:c r="N754" s="19" t="n">
        <x:f>(E754-F754)*H754</x:f>
        <x:v>42</x:v>
      </x:c>
      <x:c r="O754" s="19" t="n">
        <x:f>F754*J754</x:f>
        <x:v>0</x:v>
      </x:c>
      <x:c r="P754" s="19" t="n">
        <x:f>M754-N754-O754</x:f>
        <x:v>48</x:v>
      </x:c>
    </x:row>
    <x:row r="755">
      <x:c r="A755" s="15" t="str">
        <x:v>SIM-0751</x:v>
      </x:c>
      <x:c r="B755" s="15" t="str">
        <x:v>2026-04</x:v>
      </x:c>
      <x:c r="C755" s="15" t="str">
        <x:v>Prendas</x:v>
      </x:c>
      <x:c r="D755" s="15" t="str">
        <x:v>Online</x:v>
      </x:c>
      <x:c r="E755" s="15" t="n">
        <x:v>1</x:v>
      </x:c>
      <x:c r="F755" s="15" t="n">
        <x:v>1</x:v>
      </x:c>
      <x:c r="G755" s="19" t="n">
        <x:v>60</x:v>
      </x:c>
      <x:c r="H755" s="19" t="n">
        <x:v>24</x:v>
      </x:c>
      <x:c r="I755" s="17" t="n">
        <x:v>0.1</x:v>
      </x:c>
      <x:c r="J755" s="19" t="n">
        <x:v>6</x:v>
      </x:c>
      <x:c r="K755" s="19" t="n">
        <x:f>E755*G755</x:f>
        <x:v>60</x:v>
      </x:c>
      <x:c r="L755" s="19" t="n">
        <x:f>K755*I755</x:f>
        <x:v>6</x:v>
      </x:c>
      <x:c r="M755" s="19" t="n">
        <x:f>(E755-F755)*G755*(1-I755)</x:f>
        <x:v>0</x:v>
      </x:c>
      <x:c r="N755" s="19" t="n">
        <x:f>(E755-F755)*H755</x:f>
        <x:v>0</x:v>
      </x:c>
      <x:c r="O755" s="19" t="n">
        <x:f>F755*J755</x:f>
        <x:v>6</x:v>
      </x:c>
      <x:c r="P755" s="19" t="n">
        <x:f>M755-N755-O755</x:f>
        <x:v>-6</x:v>
      </x:c>
    </x:row>
    <x:row r="756">
      <x:c r="A756" s="15" t="str">
        <x:v>SIM-0752</x:v>
      </x:c>
      <x:c r="B756" s="15" t="str">
        <x:v>2026-04</x:v>
      </x:c>
      <x:c r="C756" s="15" t="str">
        <x:v>Calzado</x:v>
      </x:c>
      <x:c r="D756" s="15" t="str">
        <x:v>Online</x:v>
      </x:c>
      <x:c r="E756" s="15" t="n">
        <x:v>1</x:v>
      </x:c>
      <x:c r="F756" s="15" t="n">
        <x:v>1</x:v>
      </x:c>
      <x:c r="G756" s="19" t="n">
        <x:v>90</x:v>
      </x:c>
      <x:c r="H756" s="19" t="n">
        <x:v>42</x:v>
      </x:c>
      <x:c r="I756" s="17" t="n">
        <x:v>0</x:v>
      </x:c>
      <x:c r="J756" s="19" t="n">
        <x:v>6</x:v>
      </x:c>
      <x:c r="K756" s="19" t="n">
        <x:f>E756*G756</x:f>
        <x:v>90</x:v>
      </x:c>
      <x:c r="L756" s="19" t="n">
        <x:f>K756*I756</x:f>
        <x:v>0</x:v>
      </x:c>
      <x:c r="M756" s="19" t="n">
        <x:f>(E756-F756)*G756*(1-I756)</x:f>
        <x:v>0</x:v>
      </x:c>
      <x:c r="N756" s="19" t="n">
        <x:f>(E756-F756)*H756</x:f>
        <x:v>0</x:v>
      </x:c>
      <x:c r="O756" s="19" t="n">
        <x:f>F756*J756</x:f>
        <x:v>6</x:v>
      </x:c>
      <x:c r="P756" s="19" t="n">
        <x:f>M756-N756-O756</x:f>
        <x:v>-6</x:v>
      </x:c>
    </x:row>
    <x:row r="757">
      <x:c r="A757" s="15" t="str">
        <x:v>SIM-0753</x:v>
      </x:c>
      <x:c r="B757" s="15" t="str">
        <x:v>2026-04</x:v>
      </x:c>
      <x:c r="C757" s="15" t="str">
        <x:v>Prendas</x:v>
      </x:c>
      <x:c r="D757" s="15" t="str">
        <x:v>Tienda</x:v>
      </x:c>
      <x:c r="E757" s="15" t="n">
        <x:v>1</x:v>
      </x:c>
      <x:c r="F757" s="15" t="n">
        <x:v>0</x:v>
      </x:c>
      <x:c r="G757" s="19" t="n">
        <x:v>60</x:v>
      </x:c>
      <x:c r="H757" s="19" t="n">
        <x:v>24</x:v>
      </x:c>
      <x:c r="I757" s="17" t="n">
        <x:v>0</x:v>
      </x:c>
      <x:c r="J757" s="19" t="n">
        <x:v>2</x:v>
      </x:c>
      <x:c r="K757" s="19" t="n">
        <x:f>E757*G757</x:f>
        <x:v>60</x:v>
      </x:c>
      <x:c r="L757" s="19" t="n">
        <x:f>K757*I757</x:f>
        <x:v>0</x:v>
      </x:c>
      <x:c r="M757" s="19" t="n">
        <x:f>(E757-F757)*G757*(1-I757)</x:f>
        <x:v>60</x:v>
      </x:c>
      <x:c r="N757" s="19" t="n">
        <x:f>(E757-F757)*H757</x:f>
        <x:v>24</x:v>
      </x:c>
      <x:c r="O757" s="19" t="n">
        <x:f>F757*J757</x:f>
        <x:v>0</x:v>
      </x:c>
      <x:c r="P757" s="19" t="n">
        <x:f>M757-N757-O757</x:f>
        <x:v>36</x:v>
      </x:c>
    </x:row>
    <x:row r="758">
      <x:c r="A758" s="15" t="str">
        <x:v>SIM-0754</x:v>
      </x:c>
      <x:c r="B758" s="15" t="str">
        <x:v>2026-04</x:v>
      </x:c>
      <x:c r="C758" s="15" t="str">
        <x:v>Prendas</x:v>
      </x:c>
      <x:c r="D758" s="15" t="str">
        <x:v>Online</x:v>
      </x:c>
      <x:c r="E758" s="15" t="n">
        <x:v>1</x:v>
      </x:c>
      <x:c r="F758" s="15" t="n">
        <x:v>0</x:v>
      </x:c>
      <x:c r="G758" s="19" t="n">
        <x:v>60</x:v>
      </x:c>
      <x:c r="H758" s="19" t="n">
        <x:v>24</x:v>
      </x:c>
      <x:c r="I758" s="17" t="n">
        <x:v>0.1</x:v>
      </x:c>
      <x:c r="J758" s="19" t="n">
        <x:v>6</x:v>
      </x:c>
      <x:c r="K758" s="19" t="n">
        <x:f>E758*G758</x:f>
        <x:v>60</x:v>
      </x:c>
      <x:c r="L758" s="19" t="n">
        <x:f>K758*I758</x:f>
        <x:v>6</x:v>
      </x:c>
      <x:c r="M758" s="19" t="n">
        <x:f>(E758-F758)*G758*(1-I758)</x:f>
        <x:v>54</x:v>
      </x:c>
      <x:c r="N758" s="19" t="n">
        <x:f>(E758-F758)*H758</x:f>
        <x:v>24</x:v>
      </x:c>
      <x:c r="O758" s="19" t="n">
        <x:f>F758*J758</x:f>
        <x:v>0</x:v>
      </x:c>
      <x:c r="P758" s="19" t="n">
        <x:f>M758-N758-O758</x:f>
        <x:v>30</x:v>
      </x:c>
    </x:row>
    <x:row r="759">
      <x:c r="A759" s="15" t="str">
        <x:v>SIM-0755</x:v>
      </x:c>
      <x:c r="B759" s="15" t="str">
        <x:v>2026-04</x:v>
      </x:c>
      <x:c r="C759" s="15" t="str">
        <x:v>Prendas</x:v>
      </x:c>
      <x:c r="D759" s="15" t="str">
        <x:v>Tienda</x:v>
      </x:c>
      <x:c r="E759" s="15" t="n">
        <x:v>1</x:v>
      </x:c>
      <x:c r="F759" s="15" t="n">
        <x:v>0</x:v>
      </x:c>
      <x:c r="G759" s="19" t="n">
        <x:v>60</x:v>
      </x:c>
      <x:c r="H759" s="19" t="n">
        <x:v>24</x:v>
      </x:c>
      <x:c r="I759" s="17" t="n">
        <x:v>0.3</x:v>
      </x:c>
      <x:c r="J759" s="19" t="n">
        <x:v>2</x:v>
      </x:c>
      <x:c r="K759" s="19" t="n">
        <x:f>E759*G759</x:f>
        <x:v>60</x:v>
      </x:c>
      <x:c r="L759" s="19" t="n">
        <x:f>K759*I759</x:f>
        <x:v>18</x:v>
      </x:c>
      <x:c r="M759" s="19" t="n">
        <x:f>(E759-F759)*G759*(1-I759)</x:f>
        <x:v>42</x:v>
      </x:c>
      <x:c r="N759" s="19" t="n">
        <x:f>(E759-F759)*H759</x:f>
        <x:v>24</x:v>
      </x:c>
      <x:c r="O759" s="19" t="n">
        <x:f>F759*J759</x:f>
        <x:v>0</x:v>
      </x:c>
      <x:c r="P759" s="19" t="n">
        <x:f>M759-N759-O759</x:f>
        <x:v>18</x:v>
      </x:c>
    </x:row>
    <x:row r="760">
      <x:c r="A760" s="15" t="str">
        <x:v>SIM-0756</x:v>
      </x:c>
      <x:c r="B760" s="15" t="str">
        <x:v>2026-04</x:v>
      </x:c>
      <x:c r="C760" s="15" t="str">
        <x:v>Prendas</x:v>
      </x:c>
      <x:c r="D760" s="15" t="str">
        <x:v>Tienda</x:v>
      </x:c>
      <x:c r="E760" s="15" t="n">
        <x:v>2</x:v>
      </x:c>
      <x:c r="F760" s="15" t="n">
        <x:v>1</x:v>
      </x:c>
      <x:c r="G760" s="19" t="n">
        <x:v>60</x:v>
      </x:c>
      <x:c r="H760" s="19" t="n">
        <x:v>24</x:v>
      </x:c>
      <x:c r="I760" s="17" t="n">
        <x:v>0</x:v>
      </x:c>
      <x:c r="J760" s="19" t="n">
        <x:v>2</x:v>
      </x:c>
      <x:c r="K760" s="19" t="n">
        <x:f>E760*G760</x:f>
        <x:v>120</x:v>
      </x:c>
      <x:c r="L760" s="19" t="n">
        <x:f>K760*I760</x:f>
        <x:v>0</x:v>
      </x:c>
      <x:c r="M760" s="19" t="n">
        <x:f>(E760-F760)*G760*(1-I760)</x:f>
        <x:v>60</x:v>
      </x:c>
      <x:c r="N760" s="19" t="n">
        <x:f>(E760-F760)*H760</x:f>
        <x:v>24</x:v>
      </x:c>
      <x:c r="O760" s="19" t="n">
        <x:f>F760*J760</x:f>
        <x:v>2</x:v>
      </x:c>
      <x:c r="P760" s="19" t="n">
        <x:f>M760-N760-O760</x:f>
        <x:v>34</x:v>
      </x:c>
    </x:row>
    <x:row r="761">
      <x:c r="A761" s="15" t="str">
        <x:v>SIM-0757</x:v>
      </x:c>
      <x:c r="B761" s="15" t="str">
        <x:v>2026-04</x:v>
      </x:c>
      <x:c r="C761" s="15" t="str">
        <x:v>Prendas</x:v>
      </x:c>
      <x:c r="D761" s="15" t="str">
        <x:v>Online</x:v>
      </x:c>
      <x:c r="E761" s="15" t="n">
        <x:v>1</x:v>
      </x:c>
      <x:c r="F761" s="15" t="n">
        <x:v>0</x:v>
      </x:c>
      <x:c r="G761" s="19" t="n">
        <x:v>60</x:v>
      </x:c>
      <x:c r="H761" s="19" t="n">
        <x:v>24</x:v>
      </x:c>
      <x:c r="I761" s="17" t="n">
        <x:v>0</x:v>
      </x:c>
      <x:c r="J761" s="19" t="n">
        <x:v>6</x:v>
      </x:c>
      <x:c r="K761" s="19" t="n">
        <x:f>E761*G761</x:f>
        <x:v>60</x:v>
      </x:c>
      <x:c r="L761" s="19" t="n">
        <x:f>K761*I761</x:f>
        <x:v>0</x:v>
      </x:c>
      <x:c r="M761" s="19" t="n">
        <x:f>(E761-F761)*G761*(1-I761)</x:f>
        <x:v>60</x:v>
      </x:c>
      <x:c r="N761" s="19" t="n">
        <x:f>(E761-F761)*H761</x:f>
        <x:v>24</x:v>
      </x:c>
      <x:c r="O761" s="19" t="n">
        <x:f>F761*J761</x:f>
        <x:v>0</x:v>
      </x:c>
      <x:c r="P761" s="19" t="n">
        <x:f>M761-N761-O761</x:f>
        <x:v>36</x:v>
      </x:c>
    </x:row>
    <x:row r="762">
      <x:c r="A762" s="15" t="str">
        <x:v>SIM-0758</x:v>
      </x:c>
      <x:c r="B762" s="15" t="str">
        <x:v>2026-04</x:v>
      </x:c>
      <x:c r="C762" s="15" t="str">
        <x:v>Accesorios</x:v>
      </x:c>
      <x:c r="D762" s="15" t="str">
        <x:v>Online</x:v>
      </x:c>
      <x:c r="E762" s="15" t="n">
        <x:v>2</x:v>
      </x:c>
      <x:c r="F762" s="15" t="n">
        <x:v>0</x:v>
      </x:c>
      <x:c r="G762" s="19" t="n">
        <x:v>30</x:v>
      </x:c>
      <x:c r="H762" s="19" t="n">
        <x:v>9</x:v>
      </x:c>
      <x:c r="I762" s="17" t="n">
        <x:v>0</x:v>
      </x:c>
      <x:c r="J762" s="19" t="n">
        <x:v>6</x:v>
      </x:c>
      <x:c r="K762" s="19" t="n">
        <x:f>E762*G762</x:f>
        <x:v>60</x:v>
      </x:c>
      <x:c r="L762" s="19" t="n">
        <x:f>K762*I762</x:f>
        <x:v>0</x:v>
      </x:c>
      <x:c r="M762" s="19" t="n">
        <x:f>(E762-F762)*G762*(1-I762)</x:f>
        <x:v>60</x:v>
      </x:c>
      <x:c r="N762" s="19" t="n">
        <x:f>(E762-F762)*H762</x:f>
        <x:v>18</x:v>
      </x:c>
      <x:c r="O762" s="19" t="n">
        <x:f>F762*J762</x:f>
        <x:v>0</x:v>
      </x:c>
      <x:c r="P762" s="19" t="n">
        <x:f>M762-N762-O762</x:f>
        <x:v>42</x:v>
      </x:c>
    </x:row>
    <x:row r="763">
      <x:c r="A763" s="15" t="str">
        <x:v>SIM-0759</x:v>
      </x:c>
      <x:c r="B763" s="15" t="str">
        <x:v>2026-04</x:v>
      </x:c>
      <x:c r="C763" s="15" t="str">
        <x:v>Calzado</x:v>
      </x:c>
      <x:c r="D763" s="15" t="str">
        <x:v>Online</x:v>
      </x:c>
      <x:c r="E763" s="15" t="n">
        <x:v>1</x:v>
      </x:c>
      <x:c r="F763" s="15" t="n">
        <x:v>0</x:v>
      </x:c>
      <x:c r="G763" s="19" t="n">
        <x:v>90</x:v>
      </x:c>
      <x:c r="H763" s="19" t="n">
        <x:v>42</x:v>
      </x:c>
      <x:c r="I763" s="17" t="n">
        <x:v>0.2</x:v>
      </x:c>
      <x:c r="J763" s="19" t="n">
        <x:v>6</x:v>
      </x:c>
      <x:c r="K763" s="19" t="n">
        <x:f>E763*G763</x:f>
        <x:v>90</x:v>
      </x:c>
      <x:c r="L763" s="19" t="n">
        <x:f>K763*I763</x:f>
        <x:v>18</x:v>
      </x:c>
      <x:c r="M763" s="19" t="n">
        <x:f>(E763-F763)*G763*(1-I763)</x:f>
        <x:v>72</x:v>
      </x:c>
      <x:c r="N763" s="19" t="n">
        <x:f>(E763-F763)*H763</x:f>
        <x:v>42</x:v>
      </x:c>
      <x:c r="O763" s="19" t="n">
        <x:f>F763*J763</x:f>
        <x:v>0</x:v>
      </x:c>
      <x:c r="P763" s="19" t="n">
        <x:f>M763-N763-O763</x:f>
        <x:v>30</x:v>
      </x:c>
    </x:row>
    <x:row r="764">
      <x:c r="A764" s="15" t="str">
        <x:v>SIM-0760</x:v>
      </x:c>
      <x:c r="B764" s="15" t="str">
        <x:v>2026-04</x:v>
      </x:c>
      <x:c r="C764" s="15" t="str">
        <x:v>Prendas</x:v>
      </x:c>
      <x:c r="D764" s="15" t="str">
        <x:v>Online</x:v>
      </x:c>
      <x:c r="E764" s="15" t="n">
        <x:v>1</x:v>
      </x:c>
      <x:c r="F764" s="15" t="n">
        <x:v>0</x:v>
      </x:c>
      <x:c r="G764" s="19" t="n">
        <x:v>60</x:v>
      </x:c>
      <x:c r="H764" s="19" t="n">
        <x:v>24</x:v>
      </x:c>
      <x:c r="I764" s="17" t="n">
        <x:v>0.1</x:v>
      </x:c>
      <x:c r="J764" s="19" t="n">
        <x:v>6</x:v>
      </x:c>
      <x:c r="K764" s="19" t="n">
        <x:f>E764*G764</x:f>
        <x:v>60</x:v>
      </x:c>
      <x:c r="L764" s="19" t="n">
        <x:f>K764*I764</x:f>
        <x:v>6</x:v>
      </x:c>
      <x:c r="M764" s="19" t="n">
        <x:f>(E764-F764)*G764*(1-I764)</x:f>
        <x:v>54</x:v>
      </x:c>
      <x:c r="N764" s="19" t="n">
        <x:f>(E764-F764)*H764</x:f>
        <x:v>24</x:v>
      </x:c>
      <x:c r="O764" s="19" t="n">
        <x:f>F764*J764</x:f>
        <x:v>0</x:v>
      </x:c>
      <x:c r="P764" s="19" t="n">
        <x:f>M764-N764-O764</x:f>
        <x:v>30</x:v>
      </x:c>
    </x:row>
    <x:row r="765">
      <x:c r="A765" s="15" t="str">
        <x:v>SIM-0761</x:v>
      </x:c>
      <x:c r="B765" s="15" t="str">
        <x:v>2026-04</x:v>
      </x:c>
      <x:c r="C765" s="15" t="str">
        <x:v>Calzado</x:v>
      </x:c>
      <x:c r="D765" s="15" t="str">
        <x:v>Online</x:v>
      </x:c>
      <x:c r="E765" s="15" t="n">
        <x:v>1</x:v>
      </x:c>
      <x:c r="F765" s="15" t="n">
        <x:v>0</x:v>
      </x:c>
      <x:c r="G765" s="19" t="n">
        <x:v>90</x:v>
      </x:c>
      <x:c r="H765" s="19" t="n">
        <x:v>42</x:v>
      </x:c>
      <x:c r="I765" s="17" t="n">
        <x:v>0.3</x:v>
      </x:c>
      <x:c r="J765" s="19" t="n">
        <x:v>6</x:v>
      </x:c>
      <x:c r="K765" s="19" t="n">
        <x:f>E765*G765</x:f>
        <x:v>90</x:v>
      </x:c>
      <x:c r="L765" s="19" t="n">
        <x:f>K765*I765</x:f>
        <x:v>27</x:v>
      </x:c>
      <x:c r="M765" s="19" t="n">
        <x:f>(E765-F765)*G765*(1-I765)</x:f>
        <x:v>62.99999999999999</x:v>
      </x:c>
      <x:c r="N765" s="19" t="n">
        <x:f>(E765-F765)*H765</x:f>
        <x:v>42</x:v>
      </x:c>
      <x:c r="O765" s="19" t="n">
        <x:f>F765*J765</x:f>
        <x:v>0</x:v>
      </x:c>
      <x:c r="P765" s="19" t="n">
        <x:f>M765-N765-O765</x:f>
        <x:v>20.999999999999993</x:v>
      </x:c>
    </x:row>
    <x:row r="766">
      <x:c r="A766" s="15" t="str">
        <x:v>SIM-0762</x:v>
      </x:c>
      <x:c r="B766" s="15" t="str">
        <x:v>2026-04</x:v>
      </x:c>
      <x:c r="C766" s="15" t="str">
        <x:v>Prendas</x:v>
      </x:c>
      <x:c r="D766" s="15" t="str">
        <x:v>Online</x:v>
      </x:c>
      <x:c r="E766" s="15" t="n">
        <x:v>1</x:v>
      </x:c>
      <x:c r="F766" s="15" t="n">
        <x:v>0</x:v>
      </x:c>
      <x:c r="G766" s="19" t="n">
        <x:v>60</x:v>
      </x:c>
      <x:c r="H766" s="19" t="n">
        <x:v>24</x:v>
      </x:c>
      <x:c r="I766" s="17" t="n">
        <x:v>0</x:v>
      </x:c>
      <x:c r="J766" s="19" t="n">
        <x:v>6</x:v>
      </x:c>
      <x:c r="K766" s="19" t="n">
        <x:f>E766*G766</x:f>
        <x:v>60</x:v>
      </x:c>
      <x:c r="L766" s="19" t="n">
        <x:f>K766*I766</x:f>
        <x:v>0</x:v>
      </x:c>
      <x:c r="M766" s="19" t="n">
        <x:f>(E766-F766)*G766*(1-I766)</x:f>
        <x:v>60</x:v>
      </x:c>
      <x:c r="N766" s="19" t="n">
        <x:f>(E766-F766)*H766</x:f>
        <x:v>24</x:v>
      </x:c>
      <x:c r="O766" s="19" t="n">
        <x:f>F766*J766</x:f>
        <x:v>0</x:v>
      </x:c>
      <x:c r="P766" s="19" t="n">
        <x:f>M766-N766-O766</x:f>
        <x:v>36</x:v>
      </x:c>
    </x:row>
    <x:row r="767">
      <x:c r="A767" s="15" t="str">
        <x:v>SIM-0763</x:v>
      </x:c>
      <x:c r="B767" s="15" t="str">
        <x:v>2026-04</x:v>
      </x:c>
      <x:c r="C767" s="15" t="str">
        <x:v>Prendas</x:v>
      </x:c>
      <x:c r="D767" s="15" t="str">
        <x:v>Online</x:v>
      </x:c>
      <x:c r="E767" s="15" t="n">
        <x:v>1</x:v>
      </x:c>
      <x:c r="F767" s="15" t="n">
        <x:v>0</x:v>
      </x:c>
      <x:c r="G767" s="19" t="n">
        <x:v>60</x:v>
      </x:c>
      <x:c r="H767" s="19" t="n">
        <x:v>24</x:v>
      </x:c>
      <x:c r="I767" s="17" t="n">
        <x:v>0.1</x:v>
      </x:c>
      <x:c r="J767" s="19" t="n">
        <x:v>6</x:v>
      </x:c>
      <x:c r="K767" s="19" t="n">
        <x:f>E767*G767</x:f>
        <x:v>60</x:v>
      </x:c>
      <x:c r="L767" s="19" t="n">
        <x:f>K767*I767</x:f>
        <x:v>6</x:v>
      </x:c>
      <x:c r="M767" s="19" t="n">
        <x:f>(E767-F767)*G767*(1-I767)</x:f>
        <x:v>54</x:v>
      </x:c>
      <x:c r="N767" s="19" t="n">
        <x:f>(E767-F767)*H767</x:f>
        <x:v>24</x:v>
      </x:c>
      <x:c r="O767" s="19" t="n">
        <x:f>F767*J767</x:f>
        <x:v>0</x:v>
      </x:c>
      <x:c r="P767" s="19" t="n">
        <x:f>M767-N767-O767</x:f>
        <x:v>30</x:v>
      </x:c>
    </x:row>
    <x:row r="768">
      <x:c r="A768" s="15" t="str">
        <x:v>SIM-0764</x:v>
      </x:c>
      <x:c r="B768" s="15" t="str">
        <x:v>2026-04</x:v>
      </x:c>
      <x:c r="C768" s="15" t="str">
        <x:v>Calzado</x:v>
      </x:c>
      <x:c r="D768" s="15" t="str">
        <x:v>Tienda</x:v>
      </x:c>
      <x:c r="E768" s="15" t="n">
        <x:v>2</x:v>
      </x:c>
      <x:c r="F768" s="15" t="n">
        <x:v>0</x:v>
      </x:c>
      <x:c r="G768" s="19" t="n">
        <x:v>90</x:v>
      </x:c>
      <x:c r="H768" s="19" t="n">
        <x:v>42</x:v>
      </x:c>
      <x:c r="I768" s="17" t="n">
        <x:v>0.2</x:v>
      </x:c>
      <x:c r="J768" s="19" t="n">
        <x:v>2</x:v>
      </x:c>
      <x:c r="K768" s="19" t="n">
        <x:f>E768*G768</x:f>
        <x:v>180</x:v>
      </x:c>
      <x:c r="L768" s="19" t="n">
        <x:f>K768*I768</x:f>
        <x:v>36</x:v>
      </x:c>
      <x:c r="M768" s="19" t="n">
        <x:f>(E768-F768)*G768*(1-I768)</x:f>
        <x:v>144</x:v>
      </x:c>
      <x:c r="N768" s="19" t="n">
        <x:f>(E768-F768)*H768</x:f>
        <x:v>84</x:v>
      </x:c>
      <x:c r="O768" s="19" t="n">
        <x:f>F768*J768</x:f>
        <x:v>0</x:v>
      </x:c>
      <x:c r="P768" s="19" t="n">
        <x:f>M768-N768-O768</x:f>
        <x:v>60</x:v>
      </x:c>
    </x:row>
    <x:row r="769">
      <x:c r="A769" s="15" t="str">
        <x:v>SIM-0765</x:v>
      </x:c>
      <x:c r="B769" s="15" t="str">
        <x:v>2026-04</x:v>
      </x:c>
      <x:c r="C769" s="15" t="str">
        <x:v>Prendas</x:v>
      </x:c>
      <x:c r="D769" s="15" t="str">
        <x:v>Tienda</x:v>
      </x:c>
      <x:c r="E769" s="15" t="n">
        <x:v>1</x:v>
      </x:c>
      <x:c r="F769" s="15" t="n">
        <x:v>0</x:v>
      </x:c>
      <x:c r="G769" s="19" t="n">
        <x:v>60</x:v>
      </x:c>
      <x:c r="H769" s="19" t="n">
        <x:v>24</x:v>
      </x:c>
      <x:c r="I769" s="17" t="n">
        <x:v>0</x:v>
      </x:c>
      <x:c r="J769" s="19" t="n">
        <x:v>2</x:v>
      </x:c>
      <x:c r="K769" s="19" t="n">
        <x:f>E769*G769</x:f>
        <x:v>60</x:v>
      </x:c>
      <x:c r="L769" s="19" t="n">
        <x:f>K769*I769</x:f>
        <x:v>0</x:v>
      </x:c>
      <x:c r="M769" s="19" t="n">
        <x:f>(E769-F769)*G769*(1-I769)</x:f>
        <x:v>60</x:v>
      </x:c>
      <x:c r="N769" s="19" t="n">
        <x:f>(E769-F769)*H769</x:f>
        <x:v>24</x:v>
      </x:c>
      <x:c r="O769" s="19" t="n">
        <x:f>F769*J769</x:f>
        <x:v>0</x:v>
      </x:c>
      <x:c r="P769" s="19" t="n">
        <x:f>M769-N769-O769</x:f>
        <x:v>36</x:v>
      </x:c>
    </x:row>
    <x:row r="770">
      <x:c r="A770" s="15" t="str">
        <x:v>SIM-0766</x:v>
      </x:c>
      <x:c r="B770" s="15" t="str">
        <x:v>2026-04</x:v>
      </x:c>
      <x:c r="C770" s="15" t="str">
        <x:v>Prendas</x:v>
      </x:c>
      <x:c r="D770" s="15" t="str">
        <x:v>Tienda</x:v>
      </x:c>
      <x:c r="E770" s="15" t="n">
        <x:v>2</x:v>
      </x:c>
      <x:c r="F770" s="15" t="n">
        <x:v>0</x:v>
      </x:c>
      <x:c r="G770" s="19" t="n">
        <x:v>60</x:v>
      </x:c>
      <x:c r="H770" s="19" t="n">
        <x:v>24</x:v>
      </x:c>
      <x:c r="I770" s="17" t="n">
        <x:v>0.3</x:v>
      </x:c>
      <x:c r="J770" s="19" t="n">
        <x:v>2</x:v>
      </x:c>
      <x:c r="K770" s="19" t="n">
        <x:f>E770*G770</x:f>
        <x:v>120</x:v>
      </x:c>
      <x:c r="L770" s="19" t="n">
        <x:f>K770*I770</x:f>
        <x:v>36</x:v>
      </x:c>
      <x:c r="M770" s="19" t="n">
        <x:f>(E770-F770)*G770*(1-I770)</x:f>
        <x:v>84</x:v>
      </x:c>
      <x:c r="N770" s="19" t="n">
        <x:f>(E770-F770)*H770</x:f>
        <x:v>48</x:v>
      </x:c>
      <x:c r="O770" s="19" t="n">
        <x:f>F770*J770</x:f>
        <x:v>0</x:v>
      </x:c>
      <x:c r="P770" s="19" t="n">
        <x:f>M770-N770-O770</x:f>
        <x:v>36</x:v>
      </x:c>
    </x:row>
    <x:row r="771">
      <x:c r="A771" s="15" t="str">
        <x:v>SIM-0767</x:v>
      </x:c>
      <x:c r="B771" s="15" t="str">
        <x:v>2026-04</x:v>
      </x:c>
      <x:c r="C771" s="15" t="str">
        <x:v>Calzado</x:v>
      </x:c>
      <x:c r="D771" s="15" t="str">
        <x:v>Tienda</x:v>
      </x:c>
      <x:c r="E771" s="15" t="n">
        <x:v>1</x:v>
      </x:c>
      <x:c r="F771" s="15" t="n">
        <x:v>0</x:v>
      </x:c>
      <x:c r="G771" s="19" t="n">
        <x:v>90</x:v>
      </x:c>
      <x:c r="H771" s="19" t="n">
        <x:v>42</x:v>
      </x:c>
      <x:c r="I771" s="17" t="n">
        <x:v>0.3</x:v>
      </x:c>
      <x:c r="J771" s="19" t="n">
        <x:v>2</x:v>
      </x:c>
      <x:c r="K771" s="19" t="n">
        <x:f>E771*G771</x:f>
        <x:v>90</x:v>
      </x:c>
      <x:c r="L771" s="19" t="n">
        <x:f>K771*I771</x:f>
        <x:v>27</x:v>
      </x:c>
      <x:c r="M771" s="19" t="n">
        <x:f>(E771-F771)*G771*(1-I771)</x:f>
        <x:v>62.99999999999999</x:v>
      </x:c>
      <x:c r="N771" s="19" t="n">
        <x:f>(E771-F771)*H771</x:f>
        <x:v>42</x:v>
      </x:c>
      <x:c r="O771" s="19" t="n">
        <x:f>F771*J771</x:f>
        <x:v>0</x:v>
      </x:c>
      <x:c r="P771" s="19" t="n">
        <x:f>M771-N771-O771</x:f>
        <x:v>20.999999999999993</x:v>
      </x:c>
    </x:row>
    <x:row r="772">
      <x:c r="A772" s="15" t="str">
        <x:v>SIM-0768</x:v>
      </x:c>
      <x:c r="B772" s="15" t="str">
        <x:v>2026-04</x:v>
      </x:c>
      <x:c r="C772" s="15" t="str">
        <x:v>Prendas</x:v>
      </x:c>
      <x:c r="D772" s="15" t="str">
        <x:v>Online</x:v>
      </x:c>
      <x:c r="E772" s="15" t="n">
        <x:v>3</x:v>
      </x:c>
      <x:c r="F772" s="15" t="n">
        <x:v>1</x:v>
      </x:c>
      <x:c r="G772" s="19" t="n">
        <x:v>60</x:v>
      </x:c>
      <x:c r="H772" s="19" t="n">
        <x:v>24</x:v>
      </x:c>
      <x:c r="I772" s="17" t="n">
        <x:v>0.2</x:v>
      </x:c>
      <x:c r="J772" s="19" t="n">
        <x:v>6</x:v>
      </x:c>
      <x:c r="K772" s="19" t="n">
        <x:f>E772*G772</x:f>
        <x:v>180</x:v>
      </x:c>
      <x:c r="L772" s="19" t="n">
        <x:f>K772*I772</x:f>
        <x:v>36</x:v>
      </x:c>
      <x:c r="M772" s="19" t="n">
        <x:f>(E772-F772)*G772*(1-I772)</x:f>
        <x:v>96</x:v>
      </x:c>
      <x:c r="N772" s="19" t="n">
        <x:f>(E772-F772)*H772</x:f>
        <x:v>48</x:v>
      </x:c>
      <x:c r="O772" s="19" t="n">
        <x:f>F772*J772</x:f>
        <x:v>6</x:v>
      </x:c>
      <x:c r="P772" s="19" t="n">
        <x:f>M772-N772-O772</x:f>
        <x:v>42</x:v>
      </x:c>
    </x:row>
    <x:row r="773">
      <x:c r="A773" s="15" t="str">
        <x:v>SIM-0769</x:v>
      </x:c>
      <x:c r="B773" s="15" t="str">
        <x:v>2026-04</x:v>
      </x:c>
      <x:c r="C773" s="15" t="str">
        <x:v>Prendas</x:v>
      </x:c>
      <x:c r="D773" s="15" t="str">
        <x:v>Tienda</x:v>
      </x:c>
      <x:c r="E773" s="15" t="n">
        <x:v>3</x:v>
      </x:c>
      <x:c r="F773" s="15" t="n">
        <x:v>1</x:v>
      </x:c>
      <x:c r="G773" s="19" t="n">
        <x:v>60</x:v>
      </x:c>
      <x:c r="H773" s="19" t="n">
        <x:v>24</x:v>
      </x:c>
      <x:c r="I773" s="17" t="n">
        <x:v>0</x:v>
      </x:c>
      <x:c r="J773" s="19" t="n">
        <x:v>2</x:v>
      </x:c>
      <x:c r="K773" s="19" t="n">
        <x:f>E773*G773</x:f>
        <x:v>180</x:v>
      </x:c>
      <x:c r="L773" s="19" t="n">
        <x:f>K773*I773</x:f>
        <x:v>0</x:v>
      </x:c>
      <x:c r="M773" s="19" t="n">
        <x:f>(E773-F773)*G773*(1-I773)</x:f>
        <x:v>120</x:v>
      </x:c>
      <x:c r="N773" s="19" t="n">
        <x:f>(E773-F773)*H773</x:f>
        <x:v>48</x:v>
      </x:c>
      <x:c r="O773" s="19" t="n">
        <x:f>F773*J773</x:f>
        <x:v>2</x:v>
      </x:c>
      <x:c r="P773" s="19" t="n">
        <x:f>M773-N773-O773</x:f>
        <x:v>70</x:v>
      </x:c>
    </x:row>
    <x:row r="774">
      <x:c r="A774" s="15" t="str">
        <x:v>SIM-0770</x:v>
      </x:c>
      <x:c r="B774" s="15" t="str">
        <x:v>2026-04</x:v>
      </x:c>
      <x:c r="C774" s="15" t="str">
        <x:v>Calzado</x:v>
      </x:c>
      <x:c r="D774" s="15" t="str">
        <x:v>Online</x:v>
      </x:c>
      <x:c r="E774" s="15" t="n">
        <x:v>1</x:v>
      </x:c>
      <x:c r="F774" s="15" t="n">
        <x:v>0</x:v>
      </x:c>
      <x:c r="G774" s="19" t="n">
        <x:v>90</x:v>
      </x:c>
      <x:c r="H774" s="19" t="n">
        <x:v>42</x:v>
      </x:c>
      <x:c r="I774" s="17" t="n">
        <x:v>0.1</x:v>
      </x:c>
      <x:c r="J774" s="19" t="n">
        <x:v>6</x:v>
      </x:c>
      <x:c r="K774" s="19" t="n">
        <x:f>E774*G774</x:f>
        <x:v>90</x:v>
      </x:c>
      <x:c r="L774" s="19" t="n">
        <x:f>K774*I774</x:f>
        <x:v>9</x:v>
      </x:c>
      <x:c r="M774" s="19" t="n">
        <x:f>(E774-F774)*G774*(1-I774)</x:f>
        <x:v>81</x:v>
      </x:c>
      <x:c r="N774" s="19" t="n">
        <x:f>(E774-F774)*H774</x:f>
        <x:v>42</x:v>
      </x:c>
      <x:c r="O774" s="19" t="n">
        <x:f>F774*J774</x:f>
        <x:v>0</x:v>
      </x:c>
      <x:c r="P774" s="19" t="n">
        <x:f>M774-N774-O774</x:f>
        <x:v>39</x:v>
      </x:c>
    </x:row>
    <x:row r="775">
      <x:c r="A775" s="15" t="str">
        <x:v>SIM-0771</x:v>
      </x:c>
      <x:c r="B775" s="15" t="str">
        <x:v>2026-04</x:v>
      </x:c>
      <x:c r="C775" s="15" t="str">
        <x:v>Accesorios</x:v>
      </x:c>
      <x:c r="D775" s="15" t="str">
        <x:v>Tienda</x:v>
      </x:c>
      <x:c r="E775" s="15" t="n">
        <x:v>1</x:v>
      </x:c>
      <x:c r="F775" s="15" t="n">
        <x:v>0</x:v>
      </x:c>
      <x:c r="G775" s="19" t="n">
        <x:v>30</x:v>
      </x:c>
      <x:c r="H775" s="19" t="n">
        <x:v>9</x:v>
      </x:c>
      <x:c r="I775" s="17" t="n">
        <x:v>0.3</x:v>
      </x:c>
      <x:c r="J775" s="19" t="n">
        <x:v>2</x:v>
      </x:c>
      <x:c r="K775" s="19" t="n">
        <x:f>E775*G775</x:f>
        <x:v>30</x:v>
      </x:c>
      <x:c r="L775" s="19" t="n">
        <x:f>K775*I775</x:f>
        <x:v>9</x:v>
      </x:c>
      <x:c r="M775" s="19" t="n">
        <x:f>(E775-F775)*G775*(1-I775)</x:f>
        <x:v>21</x:v>
      </x:c>
      <x:c r="N775" s="19" t="n">
        <x:f>(E775-F775)*H775</x:f>
        <x:v>9</x:v>
      </x:c>
      <x:c r="O775" s="19" t="n">
        <x:f>F775*J775</x:f>
        <x:v>0</x:v>
      </x:c>
      <x:c r="P775" s="19" t="n">
        <x:f>M775-N775-O775</x:f>
        <x:v>12</x:v>
      </x:c>
    </x:row>
    <x:row r="776">
      <x:c r="A776" s="15" t="str">
        <x:v>SIM-0772</x:v>
      </x:c>
      <x:c r="B776" s="15" t="str">
        <x:v>2026-04</x:v>
      </x:c>
      <x:c r="C776" s="15" t="str">
        <x:v>Accesorios</x:v>
      </x:c>
      <x:c r="D776" s="15" t="str">
        <x:v>Tienda</x:v>
      </x:c>
      <x:c r="E776" s="15" t="n">
        <x:v>1</x:v>
      </x:c>
      <x:c r="F776" s="15" t="n">
        <x:v>0</x:v>
      </x:c>
      <x:c r="G776" s="19" t="n">
        <x:v>30</x:v>
      </x:c>
      <x:c r="H776" s="19" t="n">
        <x:v>9</x:v>
      </x:c>
      <x:c r="I776" s="17" t="n">
        <x:v>0</x:v>
      </x:c>
      <x:c r="J776" s="19" t="n">
        <x:v>2</x:v>
      </x:c>
      <x:c r="K776" s="19" t="n">
        <x:f>E776*G776</x:f>
        <x:v>30</x:v>
      </x:c>
      <x:c r="L776" s="19" t="n">
        <x:f>K776*I776</x:f>
        <x:v>0</x:v>
      </x:c>
      <x:c r="M776" s="19" t="n">
        <x:f>(E776-F776)*G776*(1-I776)</x:f>
        <x:v>30</x:v>
      </x:c>
      <x:c r="N776" s="19" t="n">
        <x:f>(E776-F776)*H776</x:f>
        <x:v>9</x:v>
      </x:c>
      <x:c r="O776" s="19" t="n">
        <x:f>F776*J776</x:f>
        <x:v>0</x:v>
      </x:c>
      <x:c r="P776" s="19" t="n">
        <x:f>M776-N776-O776</x:f>
        <x:v>21</x:v>
      </x:c>
    </x:row>
    <x:row r="777">
      <x:c r="A777" s="15" t="str">
        <x:v>SIM-0773</x:v>
      </x:c>
      <x:c r="B777" s="15" t="str">
        <x:v>2026-04</x:v>
      </x:c>
      <x:c r="C777" s="15" t="str">
        <x:v>Accesorios</x:v>
      </x:c>
      <x:c r="D777" s="15" t="str">
        <x:v>Tienda</x:v>
      </x:c>
      <x:c r="E777" s="15" t="n">
        <x:v>2</x:v>
      </x:c>
      <x:c r="F777" s="15" t="n">
        <x:v>1</x:v>
      </x:c>
      <x:c r="G777" s="19" t="n">
        <x:v>30</x:v>
      </x:c>
      <x:c r="H777" s="19" t="n">
        <x:v>9</x:v>
      </x:c>
      <x:c r="I777" s="17" t="n">
        <x:v>0.2</x:v>
      </x:c>
      <x:c r="J777" s="19" t="n">
        <x:v>2</x:v>
      </x:c>
      <x:c r="K777" s="19" t="n">
        <x:f>E777*G777</x:f>
        <x:v>60</x:v>
      </x:c>
      <x:c r="L777" s="19" t="n">
        <x:f>K777*I777</x:f>
        <x:v>12</x:v>
      </x:c>
      <x:c r="M777" s="19" t="n">
        <x:f>(E777-F777)*G777*(1-I777)</x:f>
        <x:v>24</x:v>
      </x:c>
      <x:c r="N777" s="19" t="n">
        <x:f>(E777-F777)*H777</x:f>
        <x:v>9</x:v>
      </x:c>
      <x:c r="O777" s="19" t="n">
        <x:f>F777*J777</x:f>
        <x:v>2</x:v>
      </x:c>
      <x:c r="P777" s="19" t="n">
        <x:f>M777-N777-O777</x:f>
        <x:v>13</x:v>
      </x:c>
    </x:row>
    <x:row r="778">
      <x:c r="A778" s="15" t="str">
        <x:v>SIM-0774</x:v>
      </x:c>
      <x:c r="B778" s="15" t="str">
        <x:v>2026-04</x:v>
      </x:c>
      <x:c r="C778" s="15" t="str">
        <x:v>Prendas</x:v>
      </x:c>
      <x:c r="D778" s="15" t="str">
        <x:v>Tienda</x:v>
      </x:c>
      <x:c r="E778" s="15" t="n">
        <x:v>1</x:v>
      </x:c>
      <x:c r="F778" s="15" t="n">
        <x:v>0</x:v>
      </x:c>
      <x:c r="G778" s="19" t="n">
        <x:v>60</x:v>
      </x:c>
      <x:c r="H778" s="19" t="n">
        <x:v>24</x:v>
      </x:c>
      <x:c r="I778" s="17" t="n">
        <x:v>0.1</x:v>
      </x:c>
      <x:c r="J778" s="19" t="n">
        <x:v>2</x:v>
      </x:c>
      <x:c r="K778" s="19" t="n">
        <x:f>E778*G778</x:f>
        <x:v>60</x:v>
      </x:c>
      <x:c r="L778" s="19" t="n">
        <x:f>K778*I778</x:f>
        <x:v>6</x:v>
      </x:c>
      <x:c r="M778" s="19" t="n">
        <x:f>(E778-F778)*G778*(1-I778)</x:f>
        <x:v>54</x:v>
      </x:c>
      <x:c r="N778" s="19" t="n">
        <x:f>(E778-F778)*H778</x:f>
        <x:v>24</x:v>
      </x:c>
      <x:c r="O778" s="19" t="n">
        <x:f>F778*J778</x:f>
        <x:v>0</x:v>
      </x:c>
      <x:c r="P778" s="19" t="n">
        <x:f>M778-N778-O778</x:f>
        <x:v>30</x:v>
      </x:c>
    </x:row>
    <x:row r="779">
      <x:c r="A779" s="15" t="str">
        <x:v>SIM-0775</x:v>
      </x:c>
      <x:c r="B779" s="15" t="str">
        <x:v>2026-04</x:v>
      </x:c>
      <x:c r="C779" s="15" t="str">
        <x:v>Calzado</x:v>
      </x:c>
      <x:c r="D779" s="15" t="str">
        <x:v>Online</x:v>
      </x:c>
      <x:c r="E779" s="15" t="n">
        <x:v>1</x:v>
      </x:c>
      <x:c r="F779" s="15" t="n">
        <x:v>0</x:v>
      </x:c>
      <x:c r="G779" s="19" t="n">
        <x:v>90</x:v>
      </x:c>
      <x:c r="H779" s="19" t="n">
        <x:v>42</x:v>
      </x:c>
      <x:c r="I779" s="17" t="n">
        <x:v>0.2</x:v>
      </x:c>
      <x:c r="J779" s="19" t="n">
        <x:v>6</x:v>
      </x:c>
      <x:c r="K779" s="19" t="n">
        <x:f>E779*G779</x:f>
        <x:v>90</x:v>
      </x:c>
      <x:c r="L779" s="19" t="n">
        <x:f>K779*I779</x:f>
        <x:v>18</x:v>
      </x:c>
      <x:c r="M779" s="19" t="n">
        <x:f>(E779-F779)*G779*(1-I779)</x:f>
        <x:v>72</x:v>
      </x:c>
      <x:c r="N779" s="19" t="n">
        <x:f>(E779-F779)*H779</x:f>
        <x:v>42</x:v>
      </x:c>
      <x:c r="O779" s="19" t="n">
        <x:f>F779*J779</x:f>
        <x:v>0</x:v>
      </x:c>
      <x:c r="P779" s="19" t="n">
        <x:f>M779-N779-O779</x:f>
        <x:v>30</x:v>
      </x:c>
    </x:row>
    <x:row r="780">
      <x:c r="A780" s="15" t="str">
        <x:v>SIM-0776</x:v>
      </x:c>
      <x:c r="B780" s="15" t="str">
        <x:v>2026-04</x:v>
      </x:c>
      <x:c r="C780" s="15" t="str">
        <x:v>Calzado</x:v>
      </x:c>
      <x:c r="D780" s="15" t="str">
        <x:v>Online</x:v>
      </x:c>
      <x:c r="E780" s="15" t="n">
        <x:v>1</x:v>
      </x:c>
      <x:c r="F780" s="15" t="n">
        <x:v>0</x:v>
      </x:c>
      <x:c r="G780" s="19" t="n">
        <x:v>90</x:v>
      </x:c>
      <x:c r="H780" s="19" t="n">
        <x:v>42</x:v>
      </x:c>
      <x:c r="I780" s="17" t="n">
        <x:v>0.2</x:v>
      </x:c>
      <x:c r="J780" s="19" t="n">
        <x:v>6</x:v>
      </x:c>
      <x:c r="K780" s="19" t="n">
        <x:f>E780*G780</x:f>
        <x:v>90</x:v>
      </x:c>
      <x:c r="L780" s="19" t="n">
        <x:f>K780*I780</x:f>
        <x:v>18</x:v>
      </x:c>
      <x:c r="M780" s="19" t="n">
        <x:f>(E780-F780)*G780*(1-I780)</x:f>
        <x:v>72</x:v>
      </x:c>
      <x:c r="N780" s="19" t="n">
        <x:f>(E780-F780)*H780</x:f>
        <x:v>42</x:v>
      </x:c>
      <x:c r="O780" s="19" t="n">
        <x:f>F780*J780</x:f>
        <x:v>0</x:v>
      </x:c>
      <x:c r="P780" s="19" t="n">
        <x:f>M780-N780-O780</x:f>
        <x:v>30</x:v>
      </x:c>
    </x:row>
    <x:row r="781">
      <x:c r="A781" s="15" t="str">
        <x:v>SIM-0777</x:v>
      </x:c>
      <x:c r="B781" s="15" t="str">
        <x:v>2026-04</x:v>
      </x:c>
      <x:c r="C781" s="15" t="str">
        <x:v>Prendas</x:v>
      </x:c>
      <x:c r="D781" s="15" t="str">
        <x:v>Online</x:v>
      </x:c>
      <x:c r="E781" s="15" t="n">
        <x:v>1</x:v>
      </x:c>
      <x:c r="F781" s="15" t="n">
        <x:v>0</x:v>
      </x:c>
      <x:c r="G781" s="19" t="n">
        <x:v>60</x:v>
      </x:c>
      <x:c r="H781" s="19" t="n">
        <x:v>24</x:v>
      </x:c>
      <x:c r="I781" s="17" t="n">
        <x:v>0.1</x:v>
      </x:c>
      <x:c r="J781" s="19" t="n">
        <x:v>6</x:v>
      </x:c>
      <x:c r="K781" s="19" t="n">
        <x:f>E781*G781</x:f>
        <x:v>60</x:v>
      </x:c>
      <x:c r="L781" s="19" t="n">
        <x:f>K781*I781</x:f>
        <x:v>6</x:v>
      </x:c>
      <x:c r="M781" s="19" t="n">
        <x:f>(E781-F781)*G781*(1-I781)</x:f>
        <x:v>54</x:v>
      </x:c>
      <x:c r="N781" s="19" t="n">
        <x:f>(E781-F781)*H781</x:f>
        <x:v>24</x:v>
      </x:c>
      <x:c r="O781" s="19" t="n">
        <x:f>F781*J781</x:f>
        <x:v>0</x:v>
      </x:c>
      <x:c r="P781" s="19" t="n">
        <x:f>M781-N781-O781</x:f>
        <x:v>30</x:v>
      </x:c>
    </x:row>
    <x:row r="782">
      <x:c r="A782" s="15" t="str">
        <x:v>SIM-0778</x:v>
      </x:c>
      <x:c r="B782" s="15" t="str">
        <x:v>2026-04</x:v>
      </x:c>
      <x:c r="C782" s="15" t="str">
        <x:v>Prendas</x:v>
      </x:c>
      <x:c r="D782" s="15" t="str">
        <x:v>Tienda</x:v>
      </x:c>
      <x:c r="E782" s="15" t="n">
        <x:v>1</x:v>
      </x:c>
      <x:c r="F782" s="15" t="n">
        <x:v>0</x:v>
      </x:c>
      <x:c r="G782" s="19" t="n">
        <x:v>60</x:v>
      </x:c>
      <x:c r="H782" s="19" t="n">
        <x:v>24</x:v>
      </x:c>
      <x:c r="I782" s="17" t="n">
        <x:v>0</x:v>
      </x:c>
      <x:c r="J782" s="19" t="n">
        <x:v>2</x:v>
      </x:c>
      <x:c r="K782" s="19" t="n">
        <x:f>E782*G782</x:f>
        <x:v>60</x:v>
      </x:c>
      <x:c r="L782" s="19" t="n">
        <x:f>K782*I782</x:f>
        <x:v>0</x:v>
      </x:c>
      <x:c r="M782" s="19" t="n">
        <x:f>(E782-F782)*G782*(1-I782)</x:f>
        <x:v>60</x:v>
      </x:c>
      <x:c r="N782" s="19" t="n">
        <x:f>(E782-F782)*H782</x:f>
        <x:v>24</x:v>
      </x:c>
      <x:c r="O782" s="19" t="n">
        <x:f>F782*J782</x:f>
        <x:v>0</x:v>
      </x:c>
      <x:c r="P782" s="19" t="n">
        <x:f>M782-N782-O782</x:f>
        <x:v>36</x:v>
      </x:c>
    </x:row>
    <x:row r="783">
      <x:c r="A783" s="15" t="str">
        <x:v>SIM-0779</x:v>
      </x:c>
      <x:c r="B783" s="15" t="str">
        <x:v>2026-04</x:v>
      </x:c>
      <x:c r="C783" s="15" t="str">
        <x:v>Calzado</x:v>
      </x:c>
      <x:c r="D783" s="15" t="str">
        <x:v>Online</x:v>
      </x:c>
      <x:c r="E783" s="15" t="n">
        <x:v>2</x:v>
      </x:c>
      <x:c r="F783" s="15" t="n">
        <x:v>0</x:v>
      </x:c>
      <x:c r="G783" s="19" t="n">
        <x:v>90</x:v>
      </x:c>
      <x:c r="H783" s="19" t="n">
        <x:v>42</x:v>
      </x:c>
      <x:c r="I783" s="17" t="n">
        <x:v>0.1</x:v>
      </x:c>
      <x:c r="J783" s="19" t="n">
        <x:v>6</x:v>
      </x:c>
      <x:c r="K783" s="19" t="n">
        <x:f>E783*G783</x:f>
        <x:v>180</x:v>
      </x:c>
      <x:c r="L783" s="19" t="n">
        <x:f>K783*I783</x:f>
        <x:v>18</x:v>
      </x:c>
      <x:c r="M783" s="19" t="n">
        <x:f>(E783-F783)*G783*(1-I783)</x:f>
        <x:v>162</x:v>
      </x:c>
      <x:c r="N783" s="19" t="n">
        <x:f>(E783-F783)*H783</x:f>
        <x:v>84</x:v>
      </x:c>
      <x:c r="O783" s="19" t="n">
        <x:f>F783*J783</x:f>
        <x:v>0</x:v>
      </x:c>
      <x:c r="P783" s="19" t="n">
        <x:f>M783-N783-O783</x:f>
        <x:v>78</x:v>
      </x:c>
    </x:row>
    <x:row r="784">
      <x:c r="A784" s="15" t="str">
        <x:v>SIM-0780</x:v>
      </x:c>
      <x:c r="B784" s="15" t="str">
        <x:v>2026-04</x:v>
      </x:c>
      <x:c r="C784" s="15" t="str">
        <x:v>Prendas</x:v>
      </x:c>
      <x:c r="D784" s="15" t="str">
        <x:v>Online</x:v>
      </x:c>
      <x:c r="E784" s="15" t="n">
        <x:v>3</x:v>
      </x:c>
      <x:c r="F784" s="15" t="n">
        <x:v>0</x:v>
      </x:c>
      <x:c r="G784" s="19" t="n">
        <x:v>60</x:v>
      </x:c>
      <x:c r="H784" s="19" t="n">
        <x:v>24</x:v>
      </x:c>
      <x:c r="I784" s="17" t="n">
        <x:v>0.2</x:v>
      </x:c>
      <x:c r="J784" s="19" t="n">
        <x:v>6</x:v>
      </x:c>
      <x:c r="K784" s="19" t="n">
        <x:f>E784*G784</x:f>
        <x:v>180</x:v>
      </x:c>
      <x:c r="L784" s="19" t="n">
        <x:f>K784*I784</x:f>
        <x:v>36</x:v>
      </x:c>
      <x:c r="M784" s="19" t="n">
        <x:f>(E784-F784)*G784*(1-I784)</x:f>
        <x:v>144</x:v>
      </x:c>
      <x:c r="N784" s="19" t="n">
        <x:f>(E784-F784)*H784</x:f>
        <x:v>72</x:v>
      </x:c>
      <x:c r="O784" s="19" t="n">
        <x:f>F784*J784</x:f>
        <x:v>0</x:v>
      </x:c>
      <x:c r="P784" s="19" t="n">
        <x:f>M784-N784-O784</x:f>
        <x:v>72</x:v>
      </x:c>
    </x:row>
    <x:row r="785">
      <x:c r="A785" s="15" t="str">
        <x:v>SIM-0781</x:v>
      </x:c>
      <x:c r="B785" s="15" t="str">
        <x:v>2026-04</x:v>
      </x:c>
      <x:c r="C785" s="15" t="str">
        <x:v>Prendas</x:v>
      </x:c>
      <x:c r="D785" s="15" t="str">
        <x:v>Tienda</x:v>
      </x:c>
      <x:c r="E785" s="15" t="n">
        <x:v>1</x:v>
      </x:c>
      <x:c r="F785" s="15" t="n">
        <x:v>1</x:v>
      </x:c>
      <x:c r="G785" s="19" t="n">
        <x:v>60</x:v>
      </x:c>
      <x:c r="H785" s="19" t="n">
        <x:v>24</x:v>
      </x:c>
      <x:c r="I785" s="17" t="n">
        <x:v>0.2</x:v>
      </x:c>
      <x:c r="J785" s="19" t="n">
        <x:v>2</x:v>
      </x:c>
      <x:c r="K785" s="19" t="n">
        <x:f>E785*G785</x:f>
        <x:v>60</x:v>
      </x:c>
      <x:c r="L785" s="19" t="n">
        <x:f>K785*I785</x:f>
        <x:v>12</x:v>
      </x:c>
      <x:c r="M785" s="19" t="n">
        <x:f>(E785-F785)*G785*(1-I785)</x:f>
        <x:v>0</x:v>
      </x:c>
      <x:c r="N785" s="19" t="n">
        <x:f>(E785-F785)*H785</x:f>
        <x:v>0</x:v>
      </x:c>
      <x:c r="O785" s="19" t="n">
        <x:f>F785*J785</x:f>
        <x:v>2</x:v>
      </x:c>
      <x:c r="P785" s="19" t="n">
        <x:f>M785-N785-O785</x:f>
        <x:v>-2</x:v>
      </x:c>
    </x:row>
    <x:row r="786">
      <x:c r="A786" s="15" t="str">
        <x:v>SIM-0782</x:v>
      </x:c>
      <x:c r="B786" s="15" t="str">
        <x:v>2026-04</x:v>
      </x:c>
      <x:c r="C786" s="15" t="str">
        <x:v>Accesorios</x:v>
      </x:c>
      <x:c r="D786" s="15" t="str">
        <x:v>Tienda</x:v>
      </x:c>
      <x:c r="E786" s="15" t="n">
        <x:v>3</x:v>
      </x:c>
      <x:c r="F786" s="15" t="n">
        <x:v>0</x:v>
      </x:c>
      <x:c r="G786" s="19" t="n">
        <x:v>30</x:v>
      </x:c>
      <x:c r="H786" s="19" t="n">
        <x:v>9</x:v>
      </x:c>
      <x:c r="I786" s="17" t="n">
        <x:v>0.1</x:v>
      </x:c>
      <x:c r="J786" s="19" t="n">
        <x:v>2</x:v>
      </x:c>
      <x:c r="K786" s="19" t="n">
        <x:f>E786*G786</x:f>
        <x:v>90</x:v>
      </x:c>
      <x:c r="L786" s="19" t="n">
        <x:f>K786*I786</x:f>
        <x:v>9</x:v>
      </x:c>
      <x:c r="M786" s="19" t="n">
        <x:f>(E786-F786)*G786*(1-I786)</x:f>
        <x:v>81</x:v>
      </x:c>
      <x:c r="N786" s="19" t="n">
        <x:f>(E786-F786)*H786</x:f>
        <x:v>27</x:v>
      </x:c>
      <x:c r="O786" s="19" t="n">
        <x:f>F786*J786</x:f>
        <x:v>0</x:v>
      </x:c>
      <x:c r="P786" s="19" t="n">
        <x:f>M786-N786-O786</x:f>
        <x:v>54</x:v>
      </x:c>
    </x:row>
    <x:row r="787">
      <x:c r="A787" s="15" t="str">
        <x:v>SIM-0783</x:v>
      </x:c>
      <x:c r="B787" s="15" t="str">
        <x:v>2026-04</x:v>
      </x:c>
      <x:c r="C787" s="15" t="str">
        <x:v>Prendas</x:v>
      </x:c>
      <x:c r="D787" s="15" t="str">
        <x:v>Online</x:v>
      </x:c>
      <x:c r="E787" s="15" t="n">
        <x:v>1</x:v>
      </x:c>
      <x:c r="F787" s="15" t="n">
        <x:v>0</x:v>
      </x:c>
      <x:c r="G787" s="19" t="n">
        <x:v>60</x:v>
      </x:c>
      <x:c r="H787" s="19" t="n">
        <x:v>24</x:v>
      </x:c>
      <x:c r="I787" s="17" t="n">
        <x:v>0.1</x:v>
      </x:c>
      <x:c r="J787" s="19" t="n">
        <x:v>6</x:v>
      </x:c>
      <x:c r="K787" s="19" t="n">
        <x:f>E787*G787</x:f>
        <x:v>60</x:v>
      </x:c>
      <x:c r="L787" s="19" t="n">
        <x:f>K787*I787</x:f>
        <x:v>6</x:v>
      </x:c>
      <x:c r="M787" s="19" t="n">
        <x:f>(E787-F787)*G787*(1-I787)</x:f>
        <x:v>54</x:v>
      </x:c>
      <x:c r="N787" s="19" t="n">
        <x:f>(E787-F787)*H787</x:f>
        <x:v>24</x:v>
      </x:c>
      <x:c r="O787" s="19" t="n">
        <x:f>F787*J787</x:f>
        <x:v>0</x:v>
      </x:c>
      <x:c r="P787" s="19" t="n">
        <x:f>M787-N787-O787</x:f>
        <x:v>30</x:v>
      </x:c>
    </x:row>
    <x:row r="788">
      <x:c r="A788" s="15" t="str">
        <x:v>SIM-0784</x:v>
      </x:c>
      <x:c r="B788" s="15" t="str">
        <x:v>2026-04</x:v>
      </x:c>
      <x:c r="C788" s="15" t="str">
        <x:v>Prendas</x:v>
      </x:c>
      <x:c r="D788" s="15" t="str">
        <x:v>Tienda</x:v>
      </x:c>
      <x:c r="E788" s="15" t="n">
        <x:v>1</x:v>
      </x:c>
      <x:c r="F788" s="15" t="n">
        <x:v>1</x:v>
      </x:c>
      <x:c r="G788" s="19" t="n">
        <x:v>60</x:v>
      </x:c>
      <x:c r="H788" s="19" t="n">
        <x:v>24</x:v>
      </x:c>
      <x:c r="I788" s="17" t="n">
        <x:v>0</x:v>
      </x:c>
      <x:c r="J788" s="19" t="n">
        <x:v>2</x:v>
      </x:c>
      <x:c r="K788" s="19" t="n">
        <x:f>E788*G788</x:f>
        <x:v>60</x:v>
      </x:c>
      <x:c r="L788" s="19" t="n">
        <x:f>K788*I788</x:f>
        <x:v>0</x:v>
      </x:c>
      <x:c r="M788" s="19" t="n">
        <x:f>(E788-F788)*G788*(1-I788)</x:f>
        <x:v>0</x:v>
      </x:c>
      <x:c r="N788" s="19" t="n">
        <x:f>(E788-F788)*H788</x:f>
        <x:v>0</x:v>
      </x:c>
      <x:c r="O788" s="19" t="n">
        <x:f>F788*J788</x:f>
        <x:v>2</x:v>
      </x:c>
      <x:c r="P788" s="19" t="n">
        <x:f>M788-N788-O788</x:f>
        <x:v>-2</x:v>
      </x:c>
    </x:row>
    <x:row r="789">
      <x:c r="A789" s="15" t="str">
        <x:v>SIM-0785</x:v>
      </x:c>
      <x:c r="B789" s="15" t="str">
        <x:v>2026-04</x:v>
      </x:c>
      <x:c r="C789" s="15" t="str">
        <x:v>Accesorios</x:v>
      </x:c>
      <x:c r="D789" s="15" t="str">
        <x:v>Tienda</x:v>
      </x:c>
      <x:c r="E789" s="15" t="n">
        <x:v>2</x:v>
      </x:c>
      <x:c r="F789" s="15" t="n">
        <x:v>0</x:v>
      </x:c>
      <x:c r="G789" s="19" t="n">
        <x:v>30</x:v>
      </x:c>
      <x:c r="H789" s="19" t="n">
        <x:v>9</x:v>
      </x:c>
      <x:c r="I789" s="17" t="n">
        <x:v>0</x:v>
      </x:c>
      <x:c r="J789" s="19" t="n">
        <x:v>2</x:v>
      </x:c>
      <x:c r="K789" s="19" t="n">
        <x:f>E789*G789</x:f>
        <x:v>60</x:v>
      </x:c>
      <x:c r="L789" s="19" t="n">
        <x:f>K789*I789</x:f>
        <x:v>0</x:v>
      </x:c>
      <x:c r="M789" s="19" t="n">
        <x:f>(E789-F789)*G789*(1-I789)</x:f>
        <x:v>60</x:v>
      </x:c>
      <x:c r="N789" s="19" t="n">
        <x:f>(E789-F789)*H789</x:f>
        <x:v>18</x:v>
      </x:c>
      <x:c r="O789" s="19" t="n">
        <x:f>F789*J789</x:f>
        <x:v>0</x:v>
      </x:c>
      <x:c r="P789" s="19" t="n">
        <x:f>M789-N789-O789</x:f>
        <x:v>42</x:v>
      </x:c>
    </x:row>
    <x:row r="790">
      <x:c r="A790" s="15" t="str">
        <x:v>SIM-0786</x:v>
      </x:c>
      <x:c r="B790" s="15" t="str">
        <x:v>2026-04</x:v>
      </x:c>
      <x:c r="C790" s="15" t="str">
        <x:v>Prendas</x:v>
      </x:c>
      <x:c r="D790" s="15" t="str">
        <x:v>Tienda</x:v>
      </x:c>
      <x:c r="E790" s="15" t="n">
        <x:v>3</x:v>
      </x:c>
      <x:c r="F790" s="15" t="n">
        <x:v>0</x:v>
      </x:c>
      <x:c r="G790" s="19" t="n">
        <x:v>60</x:v>
      </x:c>
      <x:c r="H790" s="19" t="n">
        <x:v>24</x:v>
      </x:c>
      <x:c r="I790" s="17" t="n">
        <x:v>0.2</x:v>
      </x:c>
      <x:c r="J790" s="19" t="n">
        <x:v>2</x:v>
      </x:c>
      <x:c r="K790" s="19" t="n">
        <x:f>E790*G790</x:f>
        <x:v>180</x:v>
      </x:c>
      <x:c r="L790" s="19" t="n">
        <x:f>K790*I790</x:f>
        <x:v>36</x:v>
      </x:c>
      <x:c r="M790" s="19" t="n">
        <x:f>(E790-F790)*G790*(1-I790)</x:f>
        <x:v>144</x:v>
      </x:c>
      <x:c r="N790" s="19" t="n">
        <x:f>(E790-F790)*H790</x:f>
        <x:v>72</x:v>
      </x:c>
      <x:c r="O790" s="19" t="n">
        <x:f>F790*J790</x:f>
        <x:v>0</x:v>
      </x:c>
      <x:c r="P790" s="19" t="n">
        <x:f>M790-N790-O790</x:f>
        <x:v>72</x:v>
      </x:c>
    </x:row>
    <x:row r="791">
      <x:c r="A791" s="15" t="str">
        <x:v>SIM-0787</x:v>
      </x:c>
      <x:c r="B791" s="15" t="str">
        <x:v>2026-04</x:v>
      </x:c>
      <x:c r="C791" s="15" t="str">
        <x:v>Calzado</x:v>
      </x:c>
      <x:c r="D791" s="15" t="str">
        <x:v>Online</x:v>
      </x:c>
      <x:c r="E791" s="15" t="n">
        <x:v>3</x:v>
      </x:c>
      <x:c r="F791" s="15" t="n">
        <x:v>0</x:v>
      </x:c>
      <x:c r="G791" s="19" t="n">
        <x:v>90</x:v>
      </x:c>
      <x:c r="H791" s="19" t="n">
        <x:v>42</x:v>
      </x:c>
      <x:c r="I791" s="17" t="n">
        <x:v>0.2</x:v>
      </x:c>
      <x:c r="J791" s="19" t="n">
        <x:v>6</x:v>
      </x:c>
      <x:c r="K791" s="19" t="n">
        <x:f>E791*G791</x:f>
        <x:v>270</x:v>
      </x:c>
      <x:c r="L791" s="19" t="n">
        <x:f>K791*I791</x:f>
        <x:v>54</x:v>
      </x:c>
      <x:c r="M791" s="19" t="n">
        <x:f>(E791-F791)*G791*(1-I791)</x:f>
        <x:v>216</x:v>
      </x:c>
      <x:c r="N791" s="19" t="n">
        <x:f>(E791-F791)*H791</x:f>
        <x:v>126</x:v>
      </x:c>
      <x:c r="O791" s="19" t="n">
        <x:f>F791*J791</x:f>
        <x:v>0</x:v>
      </x:c>
      <x:c r="P791" s="19" t="n">
        <x:f>M791-N791-O791</x:f>
        <x:v>90</x:v>
      </x:c>
    </x:row>
    <x:row r="792">
      <x:c r="A792" s="15" t="str">
        <x:v>SIM-0788</x:v>
      </x:c>
      <x:c r="B792" s="15" t="str">
        <x:v>2026-04</x:v>
      </x:c>
      <x:c r="C792" s="15" t="str">
        <x:v>Calzado</x:v>
      </x:c>
      <x:c r="D792" s="15" t="str">
        <x:v>Online</x:v>
      </x:c>
      <x:c r="E792" s="15" t="n">
        <x:v>1</x:v>
      </x:c>
      <x:c r="F792" s="15" t="n">
        <x:v>0</x:v>
      </x:c>
      <x:c r="G792" s="19" t="n">
        <x:v>90</x:v>
      </x:c>
      <x:c r="H792" s="19" t="n">
        <x:v>42</x:v>
      </x:c>
      <x:c r="I792" s="17" t="n">
        <x:v>0.2</x:v>
      </x:c>
      <x:c r="J792" s="19" t="n">
        <x:v>6</x:v>
      </x:c>
      <x:c r="K792" s="19" t="n">
        <x:f>E792*G792</x:f>
        <x:v>90</x:v>
      </x:c>
      <x:c r="L792" s="19" t="n">
        <x:f>K792*I792</x:f>
        <x:v>18</x:v>
      </x:c>
      <x:c r="M792" s="19" t="n">
        <x:f>(E792-F792)*G792*(1-I792)</x:f>
        <x:v>72</x:v>
      </x:c>
      <x:c r="N792" s="19" t="n">
        <x:f>(E792-F792)*H792</x:f>
        <x:v>42</x:v>
      </x:c>
      <x:c r="O792" s="19" t="n">
        <x:f>F792*J792</x:f>
        <x:v>0</x:v>
      </x:c>
      <x:c r="P792" s="19" t="n">
        <x:f>M792-N792-O792</x:f>
        <x:v>30</x:v>
      </x:c>
    </x:row>
    <x:row r="793">
      <x:c r="A793" s="15" t="str">
        <x:v>SIM-0789</x:v>
      </x:c>
      <x:c r="B793" s="15" t="str">
        <x:v>2026-04</x:v>
      </x:c>
      <x:c r="C793" s="15" t="str">
        <x:v>Prendas</x:v>
      </x:c>
      <x:c r="D793" s="15" t="str">
        <x:v>Tienda</x:v>
      </x:c>
      <x:c r="E793" s="15" t="n">
        <x:v>1</x:v>
      </x:c>
      <x:c r="F793" s="15" t="n">
        <x:v>0</x:v>
      </x:c>
      <x:c r="G793" s="19" t="n">
        <x:v>60</x:v>
      </x:c>
      <x:c r="H793" s="19" t="n">
        <x:v>24</x:v>
      </x:c>
      <x:c r="I793" s="17" t="n">
        <x:v>0</x:v>
      </x:c>
      <x:c r="J793" s="19" t="n">
        <x:v>2</x:v>
      </x:c>
      <x:c r="K793" s="19" t="n">
        <x:f>E793*G793</x:f>
        <x:v>60</x:v>
      </x:c>
      <x:c r="L793" s="19" t="n">
        <x:f>K793*I793</x:f>
        <x:v>0</x:v>
      </x:c>
      <x:c r="M793" s="19" t="n">
        <x:f>(E793-F793)*G793*(1-I793)</x:f>
        <x:v>60</x:v>
      </x:c>
      <x:c r="N793" s="19" t="n">
        <x:f>(E793-F793)*H793</x:f>
        <x:v>24</x:v>
      </x:c>
      <x:c r="O793" s="19" t="n">
        <x:f>F793*J793</x:f>
        <x:v>0</x:v>
      </x:c>
      <x:c r="P793" s="19" t="n">
        <x:f>M793-N793-O793</x:f>
        <x:v>36</x:v>
      </x:c>
    </x:row>
    <x:row r="794">
      <x:c r="A794" s="15" t="str">
        <x:v>SIM-0790</x:v>
      </x:c>
      <x:c r="B794" s="15" t="str">
        <x:v>2026-04</x:v>
      </x:c>
      <x:c r="C794" s="15" t="str">
        <x:v>Accesorios</x:v>
      </x:c>
      <x:c r="D794" s="15" t="str">
        <x:v>Online</x:v>
      </x:c>
      <x:c r="E794" s="15" t="n">
        <x:v>1</x:v>
      </x:c>
      <x:c r="F794" s="15" t="n">
        <x:v>0</x:v>
      </x:c>
      <x:c r="G794" s="19" t="n">
        <x:v>30</x:v>
      </x:c>
      <x:c r="H794" s="19" t="n">
        <x:v>9</x:v>
      </x:c>
      <x:c r="I794" s="17" t="n">
        <x:v>0.1</x:v>
      </x:c>
      <x:c r="J794" s="19" t="n">
        <x:v>6</x:v>
      </x:c>
      <x:c r="K794" s="19" t="n">
        <x:f>E794*G794</x:f>
        <x:v>30</x:v>
      </x:c>
      <x:c r="L794" s="19" t="n">
        <x:f>K794*I794</x:f>
        <x:v>3</x:v>
      </x:c>
      <x:c r="M794" s="19" t="n">
        <x:f>(E794-F794)*G794*(1-I794)</x:f>
        <x:v>27</x:v>
      </x:c>
      <x:c r="N794" s="19" t="n">
        <x:f>(E794-F794)*H794</x:f>
        <x:v>9</x:v>
      </x:c>
      <x:c r="O794" s="19" t="n">
        <x:f>F794*J794</x:f>
        <x:v>0</x:v>
      </x:c>
      <x:c r="P794" s="19" t="n">
        <x:f>M794-N794-O794</x:f>
        <x:v>18</x:v>
      </x:c>
    </x:row>
    <x:row r="795">
      <x:c r="A795" s="15" t="str">
        <x:v>SIM-0791</x:v>
      </x:c>
      <x:c r="B795" s="15" t="str">
        <x:v>2026-04</x:v>
      </x:c>
      <x:c r="C795" s="15" t="str">
        <x:v>Accesorios</x:v>
      </x:c>
      <x:c r="D795" s="15" t="str">
        <x:v>Online</x:v>
      </x:c>
      <x:c r="E795" s="15" t="n">
        <x:v>1</x:v>
      </x:c>
      <x:c r="F795" s="15" t="n">
        <x:v>0</x:v>
      </x:c>
      <x:c r="G795" s="19" t="n">
        <x:v>30</x:v>
      </x:c>
      <x:c r="H795" s="19" t="n">
        <x:v>9</x:v>
      </x:c>
      <x:c r="I795" s="17" t="n">
        <x:v>0.2</x:v>
      </x:c>
      <x:c r="J795" s="19" t="n">
        <x:v>6</x:v>
      </x:c>
      <x:c r="K795" s="19" t="n">
        <x:f>E795*G795</x:f>
        <x:v>30</x:v>
      </x:c>
      <x:c r="L795" s="19" t="n">
        <x:f>K795*I795</x:f>
        <x:v>6</x:v>
      </x:c>
      <x:c r="M795" s="19" t="n">
        <x:f>(E795-F795)*G795*(1-I795)</x:f>
        <x:v>24</x:v>
      </x:c>
      <x:c r="N795" s="19" t="n">
        <x:f>(E795-F795)*H795</x:f>
        <x:v>9</x:v>
      </x:c>
      <x:c r="O795" s="19" t="n">
        <x:f>F795*J795</x:f>
        <x:v>0</x:v>
      </x:c>
      <x:c r="P795" s="19" t="n">
        <x:f>M795-N795-O795</x:f>
        <x:v>15</x:v>
      </x:c>
    </x:row>
    <x:row r="796">
      <x:c r="A796" s="15" t="str">
        <x:v>SIM-0792</x:v>
      </x:c>
      <x:c r="B796" s="15" t="str">
        <x:v>2026-04</x:v>
      </x:c>
      <x:c r="C796" s="15" t="str">
        <x:v>Prendas</x:v>
      </x:c>
      <x:c r="D796" s="15" t="str">
        <x:v>Online</x:v>
      </x:c>
      <x:c r="E796" s="15" t="n">
        <x:v>1</x:v>
      </x:c>
      <x:c r="F796" s="15" t="n">
        <x:v>0</x:v>
      </x:c>
      <x:c r="G796" s="19" t="n">
        <x:v>60</x:v>
      </x:c>
      <x:c r="H796" s="19" t="n">
        <x:v>24</x:v>
      </x:c>
      <x:c r="I796" s="17" t="n">
        <x:v>0.3</x:v>
      </x:c>
      <x:c r="J796" s="19" t="n">
        <x:v>6</x:v>
      </x:c>
      <x:c r="K796" s="19" t="n">
        <x:f>E796*G796</x:f>
        <x:v>60</x:v>
      </x:c>
      <x:c r="L796" s="19" t="n">
        <x:f>K796*I796</x:f>
        <x:v>18</x:v>
      </x:c>
      <x:c r="M796" s="19" t="n">
        <x:f>(E796-F796)*G796*(1-I796)</x:f>
        <x:v>42</x:v>
      </x:c>
      <x:c r="N796" s="19" t="n">
        <x:f>(E796-F796)*H796</x:f>
        <x:v>24</x:v>
      </x:c>
      <x:c r="O796" s="19" t="n">
        <x:f>F796*J796</x:f>
        <x:v>0</x:v>
      </x:c>
      <x:c r="P796" s="19" t="n">
        <x:f>M796-N796-O796</x:f>
        <x:v>18</x:v>
      </x:c>
    </x:row>
    <x:row r="797">
      <x:c r="A797" s="15" t="str">
        <x:v>SIM-0793</x:v>
      </x:c>
      <x:c r="B797" s="15" t="str">
        <x:v>2026-04</x:v>
      </x:c>
      <x:c r="C797" s="15" t="str">
        <x:v>Prendas</x:v>
      </x:c>
      <x:c r="D797" s="15" t="str">
        <x:v>Online</x:v>
      </x:c>
      <x:c r="E797" s="15" t="n">
        <x:v>2</x:v>
      </x:c>
      <x:c r="F797" s="15" t="n">
        <x:v>0</x:v>
      </x:c>
      <x:c r="G797" s="19" t="n">
        <x:v>60</x:v>
      </x:c>
      <x:c r="H797" s="19" t="n">
        <x:v>24</x:v>
      </x:c>
      <x:c r="I797" s="17" t="n">
        <x:v>0</x:v>
      </x:c>
      <x:c r="J797" s="19" t="n">
        <x:v>6</x:v>
      </x:c>
      <x:c r="K797" s="19" t="n">
        <x:f>E797*G797</x:f>
        <x:v>120</x:v>
      </x:c>
      <x:c r="L797" s="19" t="n">
        <x:f>K797*I797</x:f>
        <x:v>0</x:v>
      </x:c>
      <x:c r="M797" s="19" t="n">
        <x:f>(E797-F797)*G797*(1-I797)</x:f>
        <x:v>120</x:v>
      </x:c>
      <x:c r="N797" s="19" t="n">
        <x:f>(E797-F797)*H797</x:f>
        <x:v>48</x:v>
      </x:c>
      <x:c r="O797" s="19" t="n">
        <x:f>F797*J797</x:f>
        <x:v>0</x:v>
      </x:c>
      <x:c r="P797" s="19" t="n">
        <x:f>M797-N797-O797</x:f>
        <x:v>72</x:v>
      </x:c>
    </x:row>
    <x:row r="798">
      <x:c r="A798" s="15" t="str">
        <x:v>SIM-0794</x:v>
      </x:c>
      <x:c r="B798" s="15" t="str">
        <x:v>2026-04</x:v>
      </x:c>
      <x:c r="C798" s="15" t="str">
        <x:v>Calzado</x:v>
      </x:c>
      <x:c r="D798" s="15" t="str">
        <x:v>Tienda</x:v>
      </x:c>
      <x:c r="E798" s="15" t="n">
        <x:v>1</x:v>
      </x:c>
      <x:c r="F798" s="15" t="n">
        <x:v>0</x:v>
      </x:c>
      <x:c r="G798" s="19" t="n">
        <x:v>90</x:v>
      </x:c>
      <x:c r="H798" s="19" t="n">
        <x:v>42</x:v>
      </x:c>
      <x:c r="I798" s="17" t="n">
        <x:v>0</x:v>
      </x:c>
      <x:c r="J798" s="19" t="n">
        <x:v>2</x:v>
      </x:c>
      <x:c r="K798" s="19" t="n">
        <x:f>E798*G798</x:f>
        <x:v>90</x:v>
      </x:c>
      <x:c r="L798" s="19" t="n">
        <x:f>K798*I798</x:f>
        <x:v>0</x:v>
      </x:c>
      <x:c r="M798" s="19" t="n">
        <x:f>(E798-F798)*G798*(1-I798)</x:f>
        <x:v>90</x:v>
      </x:c>
      <x:c r="N798" s="19" t="n">
        <x:f>(E798-F798)*H798</x:f>
        <x:v>42</x:v>
      </x:c>
      <x:c r="O798" s="19" t="n">
        <x:f>F798*J798</x:f>
        <x:v>0</x:v>
      </x:c>
      <x:c r="P798" s="19" t="n">
        <x:f>M798-N798-O798</x:f>
        <x:v>48</x:v>
      </x:c>
    </x:row>
    <x:row r="799">
      <x:c r="A799" s="15" t="str">
        <x:v>SIM-0795</x:v>
      </x:c>
      <x:c r="B799" s="15" t="str">
        <x:v>2026-04</x:v>
      </x:c>
      <x:c r="C799" s="15" t="str">
        <x:v>Calzado</x:v>
      </x:c>
      <x:c r="D799" s="15" t="str">
        <x:v>Tienda</x:v>
      </x:c>
      <x:c r="E799" s="15" t="n">
        <x:v>1</x:v>
      </x:c>
      <x:c r="F799" s="15" t="n">
        <x:v>1</x:v>
      </x:c>
      <x:c r="G799" s="19" t="n">
        <x:v>90</x:v>
      </x:c>
      <x:c r="H799" s="19" t="n">
        <x:v>42</x:v>
      </x:c>
      <x:c r="I799" s="17" t="n">
        <x:v>0</x:v>
      </x:c>
      <x:c r="J799" s="19" t="n">
        <x:v>2</x:v>
      </x:c>
      <x:c r="K799" s="19" t="n">
        <x:f>E799*G799</x:f>
        <x:v>90</x:v>
      </x:c>
      <x:c r="L799" s="19" t="n">
        <x:f>K799*I799</x:f>
        <x:v>0</x:v>
      </x:c>
      <x:c r="M799" s="19" t="n">
        <x:f>(E799-F799)*G799*(1-I799)</x:f>
        <x:v>0</x:v>
      </x:c>
      <x:c r="N799" s="19" t="n">
        <x:f>(E799-F799)*H799</x:f>
        <x:v>0</x:v>
      </x:c>
      <x:c r="O799" s="19" t="n">
        <x:f>F799*J799</x:f>
        <x:v>2</x:v>
      </x:c>
      <x:c r="P799" s="19" t="n">
        <x:f>M799-N799-O799</x:f>
        <x:v>-2</x:v>
      </x:c>
    </x:row>
    <x:row r="800">
      <x:c r="A800" s="15" t="str">
        <x:v>SIM-0796</x:v>
      </x:c>
      <x:c r="B800" s="15" t="str">
        <x:v>2026-04</x:v>
      </x:c>
      <x:c r="C800" s="15" t="str">
        <x:v>Calzado</x:v>
      </x:c>
      <x:c r="D800" s="15" t="str">
        <x:v>Online</x:v>
      </x:c>
      <x:c r="E800" s="15" t="n">
        <x:v>1</x:v>
      </x:c>
      <x:c r="F800" s="15" t="n">
        <x:v>0</x:v>
      </x:c>
      <x:c r="G800" s="19" t="n">
        <x:v>90</x:v>
      </x:c>
      <x:c r="H800" s="19" t="n">
        <x:v>42</x:v>
      </x:c>
      <x:c r="I800" s="17" t="n">
        <x:v>0.3</x:v>
      </x:c>
      <x:c r="J800" s="19" t="n">
        <x:v>6</x:v>
      </x:c>
      <x:c r="K800" s="19" t="n">
        <x:f>E800*G800</x:f>
        <x:v>90</x:v>
      </x:c>
      <x:c r="L800" s="19" t="n">
        <x:f>K800*I800</x:f>
        <x:v>27</x:v>
      </x:c>
      <x:c r="M800" s="19" t="n">
        <x:f>(E800-F800)*G800*(1-I800)</x:f>
        <x:v>62.99999999999999</x:v>
      </x:c>
      <x:c r="N800" s="19" t="n">
        <x:f>(E800-F800)*H800</x:f>
        <x:v>42</x:v>
      </x:c>
      <x:c r="O800" s="19" t="n">
        <x:f>F800*J800</x:f>
        <x:v>0</x:v>
      </x:c>
      <x:c r="P800" s="19" t="n">
        <x:f>M800-N800-O800</x:f>
        <x:v>20.999999999999993</x:v>
      </x:c>
    </x:row>
    <x:row r="801">
      <x:c r="A801" s="15" t="str">
        <x:v>SIM-0797</x:v>
      </x:c>
      <x:c r="B801" s="15" t="str">
        <x:v>2026-04</x:v>
      </x:c>
      <x:c r="C801" s="15" t="str">
        <x:v>Calzado</x:v>
      </x:c>
      <x:c r="D801" s="15" t="str">
        <x:v>Online</x:v>
      </x:c>
      <x:c r="E801" s="15" t="n">
        <x:v>1</x:v>
      </x:c>
      <x:c r="F801" s="15" t="n">
        <x:v>0</x:v>
      </x:c>
      <x:c r="G801" s="19" t="n">
        <x:v>90</x:v>
      </x:c>
      <x:c r="H801" s="19" t="n">
        <x:v>42</x:v>
      </x:c>
      <x:c r="I801" s="17" t="n">
        <x:v>0.1</x:v>
      </x:c>
      <x:c r="J801" s="19" t="n">
        <x:v>6</x:v>
      </x:c>
      <x:c r="K801" s="19" t="n">
        <x:f>E801*G801</x:f>
        <x:v>90</x:v>
      </x:c>
      <x:c r="L801" s="19" t="n">
        <x:f>K801*I801</x:f>
        <x:v>9</x:v>
      </x:c>
      <x:c r="M801" s="19" t="n">
        <x:f>(E801-F801)*G801*(1-I801)</x:f>
        <x:v>81</x:v>
      </x:c>
      <x:c r="N801" s="19" t="n">
        <x:f>(E801-F801)*H801</x:f>
        <x:v>42</x:v>
      </x:c>
      <x:c r="O801" s="19" t="n">
        <x:f>F801*J801</x:f>
        <x:v>0</x:v>
      </x:c>
      <x:c r="P801" s="19" t="n">
        <x:f>M801-N801-O801</x:f>
        <x:v>39</x:v>
      </x:c>
    </x:row>
    <x:row r="802">
      <x:c r="A802" s="15" t="str">
        <x:v>SIM-0798</x:v>
      </x:c>
      <x:c r="B802" s="15" t="str">
        <x:v>2026-04</x:v>
      </x:c>
      <x:c r="C802" s="15" t="str">
        <x:v>Calzado</x:v>
      </x:c>
      <x:c r="D802" s="15" t="str">
        <x:v>Tienda</x:v>
      </x:c>
      <x:c r="E802" s="15" t="n">
        <x:v>3</x:v>
      </x:c>
      <x:c r="F802" s="15" t="n">
        <x:v>0</x:v>
      </x:c>
      <x:c r="G802" s="19" t="n">
        <x:v>90</x:v>
      </x:c>
      <x:c r="H802" s="19" t="n">
        <x:v>42</x:v>
      </x:c>
      <x:c r="I802" s="17" t="n">
        <x:v>0.2</x:v>
      </x:c>
      <x:c r="J802" s="19" t="n">
        <x:v>2</x:v>
      </x:c>
      <x:c r="K802" s="19" t="n">
        <x:f>E802*G802</x:f>
        <x:v>270</x:v>
      </x:c>
      <x:c r="L802" s="19" t="n">
        <x:f>K802*I802</x:f>
        <x:v>54</x:v>
      </x:c>
      <x:c r="M802" s="19" t="n">
        <x:f>(E802-F802)*G802*(1-I802)</x:f>
        <x:v>216</x:v>
      </x:c>
      <x:c r="N802" s="19" t="n">
        <x:f>(E802-F802)*H802</x:f>
        <x:v>126</x:v>
      </x:c>
      <x:c r="O802" s="19" t="n">
        <x:f>F802*J802</x:f>
        <x:v>0</x:v>
      </x:c>
      <x:c r="P802" s="19" t="n">
        <x:f>M802-N802-O802</x:f>
        <x:v>90</x:v>
      </x:c>
    </x:row>
    <x:row r="803">
      <x:c r="A803" s="15" t="str">
        <x:v>SIM-0799</x:v>
      </x:c>
      <x:c r="B803" s="15" t="str">
        <x:v>2026-04</x:v>
      </x:c>
      <x:c r="C803" s="15" t="str">
        <x:v>Calzado</x:v>
      </x:c>
      <x:c r="D803" s="15" t="str">
        <x:v>Tienda</x:v>
      </x:c>
      <x:c r="E803" s="15" t="n">
        <x:v>3</x:v>
      </x:c>
      <x:c r="F803" s="15" t="n">
        <x:v>0</x:v>
      </x:c>
      <x:c r="G803" s="19" t="n">
        <x:v>90</x:v>
      </x:c>
      <x:c r="H803" s="19" t="n">
        <x:v>42</x:v>
      </x:c>
      <x:c r="I803" s="17" t="n">
        <x:v>0</x:v>
      </x:c>
      <x:c r="J803" s="19" t="n">
        <x:v>2</x:v>
      </x:c>
      <x:c r="K803" s="19" t="n">
        <x:f>E803*G803</x:f>
        <x:v>270</x:v>
      </x:c>
      <x:c r="L803" s="19" t="n">
        <x:f>K803*I803</x:f>
        <x:v>0</x:v>
      </x:c>
      <x:c r="M803" s="19" t="n">
        <x:f>(E803-F803)*G803*(1-I803)</x:f>
        <x:v>270</x:v>
      </x:c>
      <x:c r="N803" s="19" t="n">
        <x:f>(E803-F803)*H803</x:f>
        <x:v>126</x:v>
      </x:c>
      <x:c r="O803" s="19" t="n">
        <x:f>F803*J803</x:f>
        <x:v>0</x:v>
      </x:c>
      <x:c r="P803" s="19" t="n">
        <x:f>M803-N803-O803</x:f>
        <x:v>144</x:v>
      </x:c>
    </x:row>
    <x:row r="804">
      <x:c r="A804" s="15" t="str">
        <x:v>SIM-0800</x:v>
      </x:c>
      <x:c r="B804" s="15" t="str">
        <x:v>2026-04</x:v>
      </x:c>
      <x:c r="C804" s="15" t="str">
        <x:v>Calzado</x:v>
      </x:c>
      <x:c r="D804" s="15" t="str">
        <x:v>Tienda</x:v>
      </x:c>
      <x:c r="E804" s="15" t="n">
        <x:v>1</x:v>
      </x:c>
      <x:c r="F804" s="15" t="n">
        <x:v>0</x:v>
      </x:c>
      <x:c r="G804" s="19" t="n">
        <x:v>90</x:v>
      </x:c>
      <x:c r="H804" s="19" t="n">
        <x:v>42</x:v>
      </x:c>
      <x:c r="I804" s="17" t="n">
        <x:v>0</x:v>
      </x:c>
      <x:c r="J804" s="19" t="n">
        <x:v>2</x:v>
      </x:c>
      <x:c r="K804" s="19" t="n">
        <x:f>E804*G804</x:f>
        <x:v>90</x:v>
      </x:c>
      <x:c r="L804" s="19" t="n">
        <x:f>K804*I804</x:f>
        <x:v>0</x:v>
      </x:c>
      <x:c r="M804" s="19" t="n">
        <x:f>(E804-F804)*G804*(1-I804)</x:f>
        <x:v>90</x:v>
      </x:c>
      <x:c r="N804" s="19" t="n">
        <x:f>(E804-F804)*H804</x:f>
        <x:v>42</x:v>
      </x:c>
      <x:c r="O804" s="19" t="n">
        <x:f>F804*J804</x:f>
        <x:v>0</x:v>
      </x:c>
      <x:c r="P804" s="19" t="n">
        <x:f>M804-N804-O804</x:f>
        <x:v>48</x:v>
      </x:c>
    </x:row>
    <x:row r="805">
      <x:c r="A805" s="15" t="str">
        <x:v>SIM-0801</x:v>
      </x:c>
      <x:c r="B805" s="15" t="str">
        <x:v>2026-04</x:v>
      </x:c>
      <x:c r="C805" s="15" t="str">
        <x:v>Prendas</x:v>
      </x:c>
      <x:c r="D805" s="15" t="str">
        <x:v>Tienda</x:v>
      </x:c>
      <x:c r="E805" s="15" t="n">
        <x:v>1</x:v>
      </x:c>
      <x:c r="F805" s="15" t="n">
        <x:v>0</x:v>
      </x:c>
      <x:c r="G805" s="19" t="n">
        <x:v>60</x:v>
      </x:c>
      <x:c r="H805" s="19" t="n">
        <x:v>24</x:v>
      </x:c>
      <x:c r="I805" s="17" t="n">
        <x:v>0</x:v>
      </x:c>
      <x:c r="J805" s="19" t="n">
        <x:v>2</x:v>
      </x:c>
      <x:c r="K805" s="19" t="n">
        <x:f>E805*G805</x:f>
        <x:v>60</x:v>
      </x:c>
      <x:c r="L805" s="19" t="n">
        <x:f>K805*I805</x:f>
        <x:v>0</x:v>
      </x:c>
      <x:c r="M805" s="19" t="n">
        <x:f>(E805-F805)*G805*(1-I805)</x:f>
        <x:v>60</x:v>
      </x:c>
      <x:c r="N805" s="19" t="n">
        <x:f>(E805-F805)*H805</x:f>
        <x:v>24</x:v>
      </x:c>
      <x:c r="O805" s="19" t="n">
        <x:f>F805*J805</x:f>
        <x:v>0</x:v>
      </x:c>
      <x:c r="P805" s="19" t="n">
        <x:f>M805-N805-O805</x:f>
        <x:v>36</x:v>
      </x:c>
    </x:row>
    <x:row r="806">
      <x:c r="A806" s="15" t="str">
        <x:v>SIM-0802</x:v>
      </x:c>
      <x:c r="B806" s="15" t="str">
        <x:v>2026-04</x:v>
      </x:c>
      <x:c r="C806" s="15" t="str">
        <x:v>Prendas</x:v>
      </x:c>
      <x:c r="D806" s="15" t="str">
        <x:v>Tienda</x:v>
      </x:c>
      <x:c r="E806" s="15" t="n">
        <x:v>1</x:v>
      </x:c>
      <x:c r="F806" s="15" t="n">
        <x:v>0</x:v>
      </x:c>
      <x:c r="G806" s="19" t="n">
        <x:v>60</x:v>
      </x:c>
      <x:c r="H806" s="19" t="n">
        <x:v>24</x:v>
      </x:c>
      <x:c r="I806" s="17" t="n">
        <x:v>0</x:v>
      </x:c>
      <x:c r="J806" s="19" t="n">
        <x:v>2</x:v>
      </x:c>
      <x:c r="K806" s="19" t="n">
        <x:f>E806*G806</x:f>
        <x:v>60</x:v>
      </x:c>
      <x:c r="L806" s="19" t="n">
        <x:f>K806*I806</x:f>
        <x:v>0</x:v>
      </x:c>
      <x:c r="M806" s="19" t="n">
        <x:f>(E806-F806)*G806*(1-I806)</x:f>
        <x:v>60</x:v>
      </x:c>
      <x:c r="N806" s="19" t="n">
        <x:f>(E806-F806)*H806</x:f>
        <x:v>24</x:v>
      </x:c>
      <x:c r="O806" s="19" t="n">
        <x:f>F806*J806</x:f>
        <x:v>0</x:v>
      </x:c>
      <x:c r="P806" s="19" t="n">
        <x:f>M806-N806-O806</x:f>
        <x:v>36</x:v>
      </x:c>
    </x:row>
    <x:row r="807">
      <x:c r="A807" s="15" t="str">
        <x:v>SIM-0803</x:v>
      </x:c>
      <x:c r="B807" s="15" t="str">
        <x:v>2026-04</x:v>
      </x:c>
      <x:c r="C807" s="15" t="str">
        <x:v>Prendas</x:v>
      </x:c>
      <x:c r="D807" s="15" t="str">
        <x:v>Online</x:v>
      </x:c>
      <x:c r="E807" s="15" t="n">
        <x:v>1</x:v>
      </x:c>
      <x:c r="F807" s="15" t="n">
        <x:v>0</x:v>
      </x:c>
      <x:c r="G807" s="19" t="n">
        <x:v>60</x:v>
      </x:c>
      <x:c r="H807" s="19" t="n">
        <x:v>24</x:v>
      </x:c>
      <x:c r="I807" s="17" t="n">
        <x:v>0.3</x:v>
      </x:c>
      <x:c r="J807" s="19" t="n">
        <x:v>6</x:v>
      </x:c>
      <x:c r="K807" s="19" t="n">
        <x:f>E807*G807</x:f>
        <x:v>60</x:v>
      </x:c>
      <x:c r="L807" s="19" t="n">
        <x:f>K807*I807</x:f>
        <x:v>18</x:v>
      </x:c>
      <x:c r="M807" s="19" t="n">
        <x:f>(E807-F807)*G807*(1-I807)</x:f>
        <x:v>42</x:v>
      </x:c>
      <x:c r="N807" s="19" t="n">
        <x:f>(E807-F807)*H807</x:f>
        <x:v>24</x:v>
      </x:c>
      <x:c r="O807" s="19" t="n">
        <x:f>F807*J807</x:f>
        <x:v>0</x:v>
      </x:c>
      <x:c r="P807" s="19" t="n">
        <x:f>M807-N807-O807</x:f>
        <x:v>18</x:v>
      </x:c>
    </x:row>
    <x:row r="808">
      <x:c r="A808" s="15" t="str">
        <x:v>SIM-0804</x:v>
      </x:c>
      <x:c r="B808" s="15" t="str">
        <x:v>2026-04</x:v>
      </x:c>
      <x:c r="C808" s="15" t="str">
        <x:v>Accesorios</x:v>
      </x:c>
      <x:c r="D808" s="15" t="str">
        <x:v>Online</x:v>
      </x:c>
      <x:c r="E808" s="15" t="n">
        <x:v>3</x:v>
      </x:c>
      <x:c r="F808" s="15" t="n">
        <x:v>0</x:v>
      </x:c>
      <x:c r="G808" s="19" t="n">
        <x:v>30</x:v>
      </x:c>
      <x:c r="H808" s="19" t="n">
        <x:v>9</x:v>
      </x:c>
      <x:c r="I808" s="17" t="n">
        <x:v>0.3</x:v>
      </x:c>
      <x:c r="J808" s="19" t="n">
        <x:v>6</x:v>
      </x:c>
      <x:c r="K808" s="19" t="n">
        <x:f>E808*G808</x:f>
        <x:v>90</x:v>
      </x:c>
      <x:c r="L808" s="19" t="n">
        <x:f>K808*I808</x:f>
        <x:v>27</x:v>
      </x:c>
      <x:c r="M808" s="19" t="n">
        <x:f>(E808-F808)*G808*(1-I808)</x:f>
        <x:v>62.99999999999999</x:v>
      </x:c>
      <x:c r="N808" s="19" t="n">
        <x:f>(E808-F808)*H808</x:f>
        <x:v>27</x:v>
      </x:c>
      <x:c r="O808" s="19" t="n">
        <x:f>F808*J808</x:f>
        <x:v>0</x:v>
      </x:c>
      <x:c r="P808" s="19" t="n">
        <x:f>M808-N808-O808</x:f>
        <x:v>35.99999999999999</x:v>
      </x:c>
    </x:row>
    <x:row r="809">
      <x:c r="A809" s="15" t="str">
        <x:v>SIM-0805</x:v>
      </x:c>
      <x:c r="B809" s="15" t="str">
        <x:v>2026-04</x:v>
      </x:c>
      <x:c r="C809" s="15" t="str">
        <x:v>Calzado</x:v>
      </x:c>
      <x:c r="D809" s="15" t="str">
        <x:v>Online</x:v>
      </x:c>
      <x:c r="E809" s="15" t="n">
        <x:v>3</x:v>
      </x:c>
      <x:c r="F809" s="15" t="n">
        <x:v>1</x:v>
      </x:c>
      <x:c r="G809" s="19" t="n">
        <x:v>90</x:v>
      </x:c>
      <x:c r="H809" s="19" t="n">
        <x:v>42</x:v>
      </x:c>
      <x:c r="I809" s="17" t="n">
        <x:v>0.3</x:v>
      </x:c>
      <x:c r="J809" s="19" t="n">
        <x:v>6</x:v>
      </x:c>
      <x:c r="K809" s="19" t="n">
        <x:f>E809*G809</x:f>
        <x:v>270</x:v>
      </x:c>
      <x:c r="L809" s="19" t="n">
        <x:f>K809*I809</x:f>
        <x:v>81</x:v>
      </x:c>
      <x:c r="M809" s="19" t="n">
        <x:f>(E809-F809)*G809*(1-I809)</x:f>
        <x:v>125.99999999999999</x:v>
      </x:c>
      <x:c r="N809" s="19" t="n">
        <x:f>(E809-F809)*H809</x:f>
        <x:v>84</x:v>
      </x:c>
      <x:c r="O809" s="19" t="n">
        <x:f>F809*J809</x:f>
        <x:v>6</x:v>
      </x:c>
      <x:c r="P809" s="19" t="n">
        <x:f>M809-N809-O809</x:f>
        <x:v>35.999999999999986</x:v>
      </x:c>
    </x:row>
    <x:row r="810">
      <x:c r="A810" s="15" t="str">
        <x:v>SIM-0806</x:v>
      </x:c>
      <x:c r="B810" s="15" t="str">
        <x:v>2026-04</x:v>
      </x:c>
      <x:c r="C810" s="15" t="str">
        <x:v>Prendas</x:v>
      </x:c>
      <x:c r="D810" s="15" t="str">
        <x:v>Tienda</x:v>
      </x:c>
      <x:c r="E810" s="15" t="n">
        <x:v>1</x:v>
      </x:c>
      <x:c r="F810" s="15" t="n">
        <x:v>0</x:v>
      </x:c>
      <x:c r="G810" s="19" t="n">
        <x:v>60</x:v>
      </x:c>
      <x:c r="H810" s="19" t="n">
        <x:v>24</x:v>
      </x:c>
      <x:c r="I810" s="17" t="n">
        <x:v>0</x:v>
      </x:c>
      <x:c r="J810" s="19" t="n">
        <x:v>2</x:v>
      </x:c>
      <x:c r="K810" s="19" t="n">
        <x:f>E810*G810</x:f>
        <x:v>60</x:v>
      </x:c>
      <x:c r="L810" s="19" t="n">
        <x:f>K810*I810</x:f>
        <x:v>0</x:v>
      </x:c>
      <x:c r="M810" s="19" t="n">
        <x:f>(E810-F810)*G810*(1-I810)</x:f>
        <x:v>60</x:v>
      </x:c>
      <x:c r="N810" s="19" t="n">
        <x:f>(E810-F810)*H810</x:f>
        <x:v>24</x:v>
      </x:c>
      <x:c r="O810" s="19" t="n">
        <x:f>F810*J810</x:f>
        <x:v>0</x:v>
      </x:c>
      <x:c r="P810" s="19" t="n">
        <x:f>M810-N810-O810</x:f>
        <x:v>36</x:v>
      </x:c>
    </x:row>
    <x:row r="811">
      <x:c r="A811" s="15" t="str">
        <x:v>SIM-0807</x:v>
      </x:c>
      <x:c r="B811" s="15" t="str">
        <x:v>2026-04</x:v>
      </x:c>
      <x:c r="C811" s="15" t="str">
        <x:v>Calzado</x:v>
      </x:c>
      <x:c r="D811" s="15" t="str">
        <x:v>Tienda</x:v>
      </x:c>
      <x:c r="E811" s="15" t="n">
        <x:v>1</x:v>
      </x:c>
      <x:c r="F811" s="15" t="n">
        <x:v>0</x:v>
      </x:c>
      <x:c r="G811" s="19" t="n">
        <x:v>90</x:v>
      </x:c>
      <x:c r="H811" s="19" t="n">
        <x:v>42</x:v>
      </x:c>
      <x:c r="I811" s="17" t="n">
        <x:v>0</x:v>
      </x:c>
      <x:c r="J811" s="19" t="n">
        <x:v>2</x:v>
      </x:c>
      <x:c r="K811" s="19" t="n">
        <x:f>E811*G811</x:f>
        <x:v>90</x:v>
      </x:c>
      <x:c r="L811" s="19" t="n">
        <x:f>K811*I811</x:f>
        <x:v>0</x:v>
      </x:c>
      <x:c r="M811" s="19" t="n">
        <x:f>(E811-F811)*G811*(1-I811)</x:f>
        <x:v>90</x:v>
      </x:c>
      <x:c r="N811" s="19" t="n">
        <x:f>(E811-F811)*H811</x:f>
        <x:v>42</x:v>
      </x:c>
      <x:c r="O811" s="19" t="n">
        <x:f>F811*J811</x:f>
        <x:v>0</x:v>
      </x:c>
      <x:c r="P811" s="19" t="n">
        <x:f>M811-N811-O811</x:f>
        <x:v>48</x:v>
      </x:c>
    </x:row>
    <x:row r="812">
      <x:c r="A812" s="15" t="str">
        <x:v>SIM-0808</x:v>
      </x:c>
      <x:c r="B812" s="15" t="str">
        <x:v>2026-04</x:v>
      </x:c>
      <x:c r="C812" s="15" t="str">
        <x:v>Prendas</x:v>
      </x:c>
      <x:c r="D812" s="15" t="str">
        <x:v>Online</x:v>
      </x:c>
      <x:c r="E812" s="15" t="n">
        <x:v>2</x:v>
      </x:c>
      <x:c r="F812" s="15" t="n">
        <x:v>0</x:v>
      </x:c>
      <x:c r="G812" s="19" t="n">
        <x:v>60</x:v>
      </x:c>
      <x:c r="H812" s="19" t="n">
        <x:v>24</x:v>
      </x:c>
      <x:c r="I812" s="17" t="n">
        <x:v>0.2</x:v>
      </x:c>
      <x:c r="J812" s="19" t="n">
        <x:v>6</x:v>
      </x:c>
      <x:c r="K812" s="19" t="n">
        <x:f>E812*G812</x:f>
        <x:v>120</x:v>
      </x:c>
      <x:c r="L812" s="19" t="n">
        <x:f>K812*I812</x:f>
        <x:v>24</x:v>
      </x:c>
      <x:c r="M812" s="19" t="n">
        <x:f>(E812-F812)*G812*(1-I812)</x:f>
        <x:v>96</x:v>
      </x:c>
      <x:c r="N812" s="19" t="n">
        <x:f>(E812-F812)*H812</x:f>
        <x:v>48</x:v>
      </x:c>
      <x:c r="O812" s="19" t="n">
        <x:f>F812*J812</x:f>
        <x:v>0</x:v>
      </x:c>
      <x:c r="P812" s="19" t="n">
        <x:f>M812-N812-O812</x:f>
        <x:v>48</x:v>
      </x:c>
    </x:row>
    <x:row r="813">
      <x:c r="A813" s="15" t="str">
        <x:v>SIM-0809</x:v>
      </x:c>
      <x:c r="B813" s="15" t="str">
        <x:v>2026-04</x:v>
      </x:c>
      <x:c r="C813" s="15" t="str">
        <x:v>Prendas</x:v>
      </x:c>
      <x:c r="D813" s="15" t="str">
        <x:v>Online</x:v>
      </x:c>
      <x:c r="E813" s="15" t="n">
        <x:v>3</x:v>
      </x:c>
      <x:c r="F813" s="15" t="n">
        <x:v>0</x:v>
      </x:c>
      <x:c r="G813" s="19" t="n">
        <x:v>60</x:v>
      </x:c>
      <x:c r="H813" s="19" t="n">
        <x:v>24</x:v>
      </x:c>
      <x:c r="I813" s="17" t="n">
        <x:v>0.1</x:v>
      </x:c>
      <x:c r="J813" s="19" t="n">
        <x:v>6</x:v>
      </x:c>
      <x:c r="K813" s="19" t="n">
        <x:f>E813*G813</x:f>
        <x:v>180</x:v>
      </x:c>
      <x:c r="L813" s="19" t="n">
        <x:f>K813*I813</x:f>
        <x:v>18</x:v>
      </x:c>
      <x:c r="M813" s="19" t="n">
        <x:f>(E813-F813)*G813*(1-I813)</x:f>
        <x:v>162</x:v>
      </x:c>
      <x:c r="N813" s="19" t="n">
        <x:f>(E813-F813)*H813</x:f>
        <x:v>72</x:v>
      </x:c>
      <x:c r="O813" s="19" t="n">
        <x:f>F813*J813</x:f>
        <x:v>0</x:v>
      </x:c>
      <x:c r="P813" s="19" t="n">
        <x:f>M813-N813-O813</x:f>
        <x:v>90</x:v>
      </x:c>
    </x:row>
    <x:row r="814">
      <x:c r="A814" s="15" t="str">
        <x:v>SIM-0810</x:v>
      </x:c>
      <x:c r="B814" s="15" t="str">
        <x:v>2026-04</x:v>
      </x:c>
      <x:c r="C814" s="15" t="str">
        <x:v>Calzado</x:v>
      </x:c>
      <x:c r="D814" s="15" t="str">
        <x:v>Online</x:v>
      </x:c>
      <x:c r="E814" s="15" t="n">
        <x:v>2</x:v>
      </x:c>
      <x:c r="F814" s="15" t="n">
        <x:v>0</x:v>
      </x:c>
      <x:c r="G814" s="19" t="n">
        <x:v>90</x:v>
      </x:c>
      <x:c r="H814" s="19" t="n">
        <x:v>42</x:v>
      </x:c>
      <x:c r="I814" s="17" t="n">
        <x:v>0.1</x:v>
      </x:c>
      <x:c r="J814" s="19" t="n">
        <x:v>6</x:v>
      </x:c>
      <x:c r="K814" s="19" t="n">
        <x:f>E814*G814</x:f>
        <x:v>180</x:v>
      </x:c>
      <x:c r="L814" s="19" t="n">
        <x:f>K814*I814</x:f>
        <x:v>18</x:v>
      </x:c>
      <x:c r="M814" s="19" t="n">
        <x:f>(E814-F814)*G814*(1-I814)</x:f>
        <x:v>162</x:v>
      </x:c>
      <x:c r="N814" s="19" t="n">
        <x:f>(E814-F814)*H814</x:f>
        <x:v>84</x:v>
      </x:c>
      <x:c r="O814" s="19" t="n">
        <x:f>F814*J814</x:f>
        <x:v>0</x:v>
      </x:c>
      <x:c r="P814" s="19" t="n">
        <x:f>M814-N814-O814</x:f>
        <x:v>78</x:v>
      </x:c>
    </x:row>
    <x:row r="815">
      <x:c r="A815" s="15" t="str">
        <x:v>SIM-0811</x:v>
      </x:c>
      <x:c r="B815" s="15" t="str">
        <x:v>2026-04</x:v>
      </x:c>
      <x:c r="C815" s="15" t="str">
        <x:v>Prendas</x:v>
      </x:c>
      <x:c r="D815" s="15" t="str">
        <x:v>Online</x:v>
      </x:c>
      <x:c r="E815" s="15" t="n">
        <x:v>2</x:v>
      </x:c>
      <x:c r="F815" s="15" t="n">
        <x:v>0</x:v>
      </x:c>
      <x:c r="G815" s="19" t="n">
        <x:v>60</x:v>
      </x:c>
      <x:c r="H815" s="19" t="n">
        <x:v>24</x:v>
      </x:c>
      <x:c r="I815" s="17" t="n">
        <x:v>0.2</x:v>
      </x:c>
      <x:c r="J815" s="19" t="n">
        <x:v>6</x:v>
      </x:c>
      <x:c r="K815" s="19" t="n">
        <x:f>E815*G815</x:f>
        <x:v>120</x:v>
      </x:c>
      <x:c r="L815" s="19" t="n">
        <x:f>K815*I815</x:f>
        <x:v>24</x:v>
      </x:c>
      <x:c r="M815" s="19" t="n">
        <x:f>(E815-F815)*G815*(1-I815)</x:f>
        <x:v>96</x:v>
      </x:c>
      <x:c r="N815" s="19" t="n">
        <x:f>(E815-F815)*H815</x:f>
        <x:v>48</x:v>
      </x:c>
      <x:c r="O815" s="19" t="n">
        <x:f>F815*J815</x:f>
        <x:v>0</x:v>
      </x:c>
      <x:c r="P815" s="19" t="n">
        <x:f>M815-N815-O815</x:f>
        <x:v>48</x:v>
      </x:c>
    </x:row>
    <x:row r="816">
      <x:c r="A816" s="15" t="str">
        <x:v>SIM-0812</x:v>
      </x:c>
      <x:c r="B816" s="15" t="str">
        <x:v>2026-04</x:v>
      </x:c>
      <x:c r="C816" s="15" t="str">
        <x:v>Prendas</x:v>
      </x:c>
      <x:c r="D816" s="15" t="str">
        <x:v>Tienda</x:v>
      </x:c>
      <x:c r="E816" s="15" t="n">
        <x:v>1</x:v>
      </x:c>
      <x:c r="F816" s="15" t="n">
        <x:v>0</x:v>
      </x:c>
      <x:c r="G816" s="19" t="n">
        <x:v>60</x:v>
      </x:c>
      <x:c r="H816" s="19" t="n">
        <x:v>24</x:v>
      </x:c>
      <x:c r="I816" s="17" t="n">
        <x:v>0</x:v>
      </x:c>
      <x:c r="J816" s="19" t="n">
        <x:v>2</x:v>
      </x:c>
      <x:c r="K816" s="19" t="n">
        <x:f>E816*G816</x:f>
        <x:v>60</x:v>
      </x:c>
      <x:c r="L816" s="19" t="n">
        <x:f>K816*I816</x:f>
        <x:v>0</x:v>
      </x:c>
      <x:c r="M816" s="19" t="n">
        <x:f>(E816-F816)*G816*(1-I816)</x:f>
        <x:v>60</x:v>
      </x:c>
      <x:c r="N816" s="19" t="n">
        <x:f>(E816-F816)*H816</x:f>
        <x:v>24</x:v>
      </x:c>
      <x:c r="O816" s="19" t="n">
        <x:f>F816*J816</x:f>
        <x:v>0</x:v>
      </x:c>
      <x:c r="P816" s="19" t="n">
        <x:f>M816-N816-O816</x:f>
        <x:v>36</x:v>
      </x:c>
    </x:row>
    <x:row r="817">
      <x:c r="A817" s="15" t="str">
        <x:v>SIM-0813</x:v>
      </x:c>
      <x:c r="B817" s="15" t="str">
        <x:v>2026-04</x:v>
      </x:c>
      <x:c r="C817" s="15" t="str">
        <x:v>Accesorios</x:v>
      </x:c>
      <x:c r="D817" s="15" t="str">
        <x:v>Online</x:v>
      </x:c>
      <x:c r="E817" s="15" t="n">
        <x:v>2</x:v>
      </x:c>
      <x:c r="F817" s="15" t="n">
        <x:v>0</x:v>
      </x:c>
      <x:c r="G817" s="19" t="n">
        <x:v>30</x:v>
      </x:c>
      <x:c r="H817" s="19" t="n">
        <x:v>9</x:v>
      </x:c>
      <x:c r="I817" s="17" t="n">
        <x:v>0.3</x:v>
      </x:c>
      <x:c r="J817" s="19" t="n">
        <x:v>6</x:v>
      </x:c>
      <x:c r="K817" s="19" t="n">
        <x:f>E817*G817</x:f>
        <x:v>60</x:v>
      </x:c>
      <x:c r="L817" s="19" t="n">
        <x:f>K817*I817</x:f>
        <x:v>18</x:v>
      </x:c>
      <x:c r="M817" s="19" t="n">
        <x:f>(E817-F817)*G817*(1-I817)</x:f>
        <x:v>42</x:v>
      </x:c>
      <x:c r="N817" s="19" t="n">
        <x:f>(E817-F817)*H817</x:f>
        <x:v>18</x:v>
      </x:c>
      <x:c r="O817" s="19" t="n">
        <x:f>F817*J817</x:f>
        <x:v>0</x:v>
      </x:c>
      <x:c r="P817" s="19" t="n">
        <x:f>M817-N817-O817</x:f>
        <x:v>24</x:v>
      </x:c>
    </x:row>
    <x:row r="818">
      <x:c r="A818" s="15" t="str">
        <x:v>SIM-0814</x:v>
      </x:c>
      <x:c r="B818" s="15" t="str">
        <x:v>2026-04</x:v>
      </x:c>
      <x:c r="C818" s="15" t="str">
        <x:v>Prendas</x:v>
      </x:c>
      <x:c r="D818" s="15" t="str">
        <x:v>Online</x:v>
      </x:c>
      <x:c r="E818" s="15" t="n">
        <x:v>1</x:v>
      </x:c>
      <x:c r="F818" s="15" t="n">
        <x:v>0</x:v>
      </x:c>
      <x:c r="G818" s="19" t="n">
        <x:v>60</x:v>
      </x:c>
      <x:c r="H818" s="19" t="n">
        <x:v>24</x:v>
      </x:c>
      <x:c r="I818" s="17" t="n">
        <x:v>0</x:v>
      </x:c>
      <x:c r="J818" s="19" t="n">
        <x:v>6</x:v>
      </x:c>
      <x:c r="K818" s="19" t="n">
        <x:f>E818*G818</x:f>
        <x:v>60</x:v>
      </x:c>
      <x:c r="L818" s="19" t="n">
        <x:f>K818*I818</x:f>
        <x:v>0</x:v>
      </x:c>
      <x:c r="M818" s="19" t="n">
        <x:f>(E818-F818)*G818*(1-I818)</x:f>
        <x:v>60</x:v>
      </x:c>
      <x:c r="N818" s="19" t="n">
        <x:f>(E818-F818)*H818</x:f>
        <x:v>24</x:v>
      </x:c>
      <x:c r="O818" s="19" t="n">
        <x:f>F818*J818</x:f>
        <x:v>0</x:v>
      </x:c>
      <x:c r="P818" s="19" t="n">
        <x:f>M818-N818-O818</x:f>
        <x:v>36</x:v>
      </x:c>
    </x:row>
    <x:row r="819">
      <x:c r="A819" s="15" t="str">
        <x:v>SIM-0815</x:v>
      </x:c>
      <x:c r="B819" s="15" t="str">
        <x:v>2026-04</x:v>
      </x:c>
      <x:c r="C819" s="15" t="str">
        <x:v>Calzado</x:v>
      </x:c>
      <x:c r="D819" s="15" t="str">
        <x:v>Tienda</x:v>
      </x:c>
      <x:c r="E819" s="15" t="n">
        <x:v>1</x:v>
      </x:c>
      <x:c r="F819" s="15" t="n">
        <x:v>0</x:v>
      </x:c>
      <x:c r="G819" s="19" t="n">
        <x:v>90</x:v>
      </x:c>
      <x:c r="H819" s="19" t="n">
        <x:v>42</x:v>
      </x:c>
      <x:c r="I819" s="17" t="n">
        <x:v>0</x:v>
      </x:c>
      <x:c r="J819" s="19" t="n">
        <x:v>2</x:v>
      </x:c>
      <x:c r="K819" s="19" t="n">
        <x:f>E819*G819</x:f>
        <x:v>90</x:v>
      </x:c>
      <x:c r="L819" s="19" t="n">
        <x:f>K819*I819</x:f>
        <x:v>0</x:v>
      </x:c>
      <x:c r="M819" s="19" t="n">
        <x:f>(E819-F819)*G819*(1-I819)</x:f>
        <x:v>90</x:v>
      </x:c>
      <x:c r="N819" s="19" t="n">
        <x:f>(E819-F819)*H819</x:f>
        <x:v>42</x:v>
      </x:c>
      <x:c r="O819" s="19" t="n">
        <x:f>F819*J819</x:f>
        <x:v>0</x:v>
      </x:c>
      <x:c r="P819" s="19" t="n">
        <x:f>M819-N819-O819</x:f>
        <x:v>48</x:v>
      </x:c>
    </x:row>
    <x:row r="820">
      <x:c r="A820" s="15" t="str">
        <x:v>SIM-0816</x:v>
      </x:c>
      <x:c r="B820" s="15" t="str">
        <x:v>2026-04</x:v>
      </x:c>
      <x:c r="C820" s="15" t="str">
        <x:v>Prendas</x:v>
      </x:c>
      <x:c r="D820" s="15" t="str">
        <x:v>Online</x:v>
      </x:c>
      <x:c r="E820" s="15" t="n">
        <x:v>1</x:v>
      </x:c>
      <x:c r="F820" s="15" t="n">
        <x:v>0</x:v>
      </x:c>
      <x:c r="G820" s="19" t="n">
        <x:v>60</x:v>
      </x:c>
      <x:c r="H820" s="19" t="n">
        <x:v>24</x:v>
      </x:c>
      <x:c r="I820" s="17" t="n">
        <x:v>0</x:v>
      </x:c>
      <x:c r="J820" s="19" t="n">
        <x:v>6</x:v>
      </x:c>
      <x:c r="K820" s="19" t="n">
        <x:f>E820*G820</x:f>
        <x:v>60</x:v>
      </x:c>
      <x:c r="L820" s="19" t="n">
        <x:f>K820*I820</x:f>
        <x:v>0</x:v>
      </x:c>
      <x:c r="M820" s="19" t="n">
        <x:f>(E820-F820)*G820*(1-I820)</x:f>
        <x:v>60</x:v>
      </x:c>
      <x:c r="N820" s="19" t="n">
        <x:f>(E820-F820)*H820</x:f>
        <x:v>24</x:v>
      </x:c>
      <x:c r="O820" s="19" t="n">
        <x:f>F820*J820</x:f>
        <x:v>0</x:v>
      </x:c>
      <x:c r="P820" s="19" t="n">
        <x:f>M820-N820-O820</x:f>
        <x:v>36</x:v>
      </x:c>
    </x:row>
    <x:row r="821">
      <x:c r="A821" s="15" t="str">
        <x:v>SIM-0817</x:v>
      </x:c>
      <x:c r="B821" s="15" t="str">
        <x:v>2026-04</x:v>
      </x:c>
      <x:c r="C821" s="15" t="str">
        <x:v>Prendas</x:v>
      </x:c>
      <x:c r="D821" s="15" t="str">
        <x:v>Online</x:v>
      </x:c>
      <x:c r="E821" s="15" t="n">
        <x:v>1</x:v>
      </x:c>
      <x:c r="F821" s="15" t="n">
        <x:v>0</x:v>
      </x:c>
      <x:c r="G821" s="19" t="n">
        <x:v>60</x:v>
      </x:c>
      <x:c r="H821" s="19" t="n">
        <x:v>24</x:v>
      </x:c>
      <x:c r="I821" s="17" t="n">
        <x:v>0.2</x:v>
      </x:c>
      <x:c r="J821" s="19" t="n">
        <x:v>6</x:v>
      </x:c>
      <x:c r="K821" s="19" t="n">
        <x:f>E821*G821</x:f>
        <x:v>60</x:v>
      </x:c>
      <x:c r="L821" s="19" t="n">
        <x:f>K821*I821</x:f>
        <x:v>12</x:v>
      </x:c>
      <x:c r="M821" s="19" t="n">
        <x:f>(E821-F821)*G821*(1-I821)</x:f>
        <x:v>48</x:v>
      </x:c>
      <x:c r="N821" s="19" t="n">
        <x:f>(E821-F821)*H821</x:f>
        <x:v>24</x:v>
      </x:c>
      <x:c r="O821" s="19" t="n">
        <x:f>F821*J821</x:f>
        <x:v>0</x:v>
      </x:c>
      <x:c r="P821" s="19" t="n">
        <x:f>M821-N821-O821</x:f>
        <x:v>24</x:v>
      </x:c>
    </x:row>
    <x:row r="822">
      <x:c r="A822" s="15" t="str">
        <x:v>SIM-0818</x:v>
      </x:c>
      <x:c r="B822" s="15" t="str">
        <x:v>2026-04</x:v>
      </x:c>
      <x:c r="C822" s="15" t="str">
        <x:v>Prendas</x:v>
      </x:c>
      <x:c r="D822" s="15" t="str">
        <x:v>Online</x:v>
      </x:c>
      <x:c r="E822" s="15" t="n">
        <x:v>1</x:v>
      </x:c>
      <x:c r="F822" s="15" t="n">
        <x:v>0</x:v>
      </x:c>
      <x:c r="G822" s="19" t="n">
        <x:v>60</x:v>
      </x:c>
      <x:c r="H822" s="19" t="n">
        <x:v>24</x:v>
      </x:c>
      <x:c r="I822" s="17" t="n">
        <x:v>0.2</x:v>
      </x:c>
      <x:c r="J822" s="19" t="n">
        <x:v>6</x:v>
      </x:c>
      <x:c r="K822" s="19" t="n">
        <x:f>E822*G822</x:f>
        <x:v>60</x:v>
      </x:c>
      <x:c r="L822" s="19" t="n">
        <x:f>K822*I822</x:f>
        <x:v>12</x:v>
      </x:c>
      <x:c r="M822" s="19" t="n">
        <x:f>(E822-F822)*G822*(1-I822)</x:f>
        <x:v>48</x:v>
      </x:c>
      <x:c r="N822" s="19" t="n">
        <x:f>(E822-F822)*H822</x:f>
        <x:v>24</x:v>
      </x:c>
      <x:c r="O822" s="19" t="n">
        <x:f>F822*J822</x:f>
        <x:v>0</x:v>
      </x:c>
      <x:c r="P822" s="19" t="n">
        <x:f>M822-N822-O822</x:f>
        <x:v>24</x:v>
      </x:c>
    </x:row>
    <x:row r="823">
      <x:c r="A823" s="15" t="str">
        <x:v>SIM-0819</x:v>
      </x:c>
      <x:c r="B823" s="15" t="str">
        <x:v>2026-04</x:v>
      </x:c>
      <x:c r="C823" s="15" t="str">
        <x:v>Accesorios</x:v>
      </x:c>
      <x:c r="D823" s="15" t="str">
        <x:v>Online</x:v>
      </x:c>
      <x:c r="E823" s="15" t="n">
        <x:v>1</x:v>
      </x:c>
      <x:c r="F823" s="15" t="n">
        <x:v>0</x:v>
      </x:c>
      <x:c r="G823" s="19" t="n">
        <x:v>30</x:v>
      </x:c>
      <x:c r="H823" s="19" t="n">
        <x:v>9</x:v>
      </x:c>
      <x:c r="I823" s="17" t="n">
        <x:v>0</x:v>
      </x:c>
      <x:c r="J823" s="19" t="n">
        <x:v>6</x:v>
      </x:c>
      <x:c r="K823" s="19" t="n">
        <x:f>E823*G823</x:f>
        <x:v>30</x:v>
      </x:c>
      <x:c r="L823" s="19" t="n">
        <x:f>K823*I823</x:f>
        <x:v>0</x:v>
      </x:c>
      <x:c r="M823" s="19" t="n">
        <x:f>(E823-F823)*G823*(1-I823)</x:f>
        <x:v>30</x:v>
      </x:c>
      <x:c r="N823" s="19" t="n">
        <x:f>(E823-F823)*H823</x:f>
        <x:v>9</x:v>
      </x:c>
      <x:c r="O823" s="19" t="n">
        <x:f>F823*J823</x:f>
        <x:v>0</x:v>
      </x:c>
      <x:c r="P823" s="19" t="n">
        <x:f>M823-N823-O823</x:f>
        <x:v>21</x:v>
      </x:c>
    </x:row>
    <x:row r="824">
      <x:c r="A824" s="15" t="str">
        <x:v>SIM-0820</x:v>
      </x:c>
      <x:c r="B824" s="15" t="str">
        <x:v>2026-04</x:v>
      </x:c>
      <x:c r="C824" s="15" t="str">
        <x:v>Prendas</x:v>
      </x:c>
      <x:c r="D824" s="15" t="str">
        <x:v>Online</x:v>
      </x:c>
      <x:c r="E824" s="15" t="n">
        <x:v>2</x:v>
      </x:c>
      <x:c r="F824" s="15" t="n">
        <x:v>1</x:v>
      </x:c>
      <x:c r="G824" s="19" t="n">
        <x:v>60</x:v>
      </x:c>
      <x:c r="H824" s="19" t="n">
        <x:v>24</x:v>
      </x:c>
      <x:c r="I824" s="17" t="n">
        <x:v>0</x:v>
      </x:c>
      <x:c r="J824" s="19" t="n">
        <x:v>6</x:v>
      </x:c>
      <x:c r="K824" s="19" t="n">
        <x:f>E824*G824</x:f>
        <x:v>120</x:v>
      </x:c>
      <x:c r="L824" s="19" t="n">
        <x:f>K824*I824</x:f>
        <x:v>0</x:v>
      </x:c>
      <x:c r="M824" s="19" t="n">
        <x:f>(E824-F824)*G824*(1-I824)</x:f>
        <x:v>60</x:v>
      </x:c>
      <x:c r="N824" s="19" t="n">
        <x:f>(E824-F824)*H824</x:f>
        <x:v>24</x:v>
      </x:c>
      <x:c r="O824" s="19" t="n">
        <x:f>F824*J824</x:f>
        <x:v>6</x:v>
      </x:c>
      <x:c r="P824" s="19" t="n">
        <x:f>M824-N824-O824</x:f>
        <x:v>30</x:v>
      </x:c>
    </x:row>
    <x:row r="825">
      <x:c r="A825" s="15" t="str">
        <x:v>SIM-0821</x:v>
      </x:c>
      <x:c r="B825" s="15" t="str">
        <x:v>2026-04</x:v>
      </x:c>
      <x:c r="C825" s="15" t="str">
        <x:v>Prendas</x:v>
      </x:c>
      <x:c r="D825" s="15" t="str">
        <x:v>Online</x:v>
      </x:c>
      <x:c r="E825" s="15" t="n">
        <x:v>1</x:v>
      </x:c>
      <x:c r="F825" s="15" t="n">
        <x:v>0</x:v>
      </x:c>
      <x:c r="G825" s="19" t="n">
        <x:v>60</x:v>
      </x:c>
      <x:c r="H825" s="19" t="n">
        <x:v>24</x:v>
      </x:c>
      <x:c r="I825" s="17" t="n">
        <x:v>0</x:v>
      </x:c>
      <x:c r="J825" s="19" t="n">
        <x:v>6</x:v>
      </x:c>
      <x:c r="K825" s="19" t="n">
        <x:f>E825*G825</x:f>
        <x:v>60</x:v>
      </x:c>
      <x:c r="L825" s="19" t="n">
        <x:f>K825*I825</x:f>
        <x:v>0</x:v>
      </x:c>
      <x:c r="M825" s="19" t="n">
        <x:f>(E825-F825)*G825*(1-I825)</x:f>
        <x:v>60</x:v>
      </x:c>
      <x:c r="N825" s="19" t="n">
        <x:f>(E825-F825)*H825</x:f>
        <x:v>24</x:v>
      </x:c>
      <x:c r="O825" s="19" t="n">
        <x:f>F825*J825</x:f>
        <x:v>0</x:v>
      </x:c>
      <x:c r="P825" s="19" t="n">
        <x:f>M825-N825-O825</x:f>
        <x:v>36</x:v>
      </x:c>
    </x:row>
    <x:row r="826">
      <x:c r="A826" s="15" t="str">
        <x:v>SIM-0822</x:v>
      </x:c>
      <x:c r="B826" s="15" t="str">
        <x:v>2026-04</x:v>
      </x:c>
      <x:c r="C826" s="15" t="str">
        <x:v>Prendas</x:v>
      </x:c>
      <x:c r="D826" s="15" t="str">
        <x:v>Online</x:v>
      </x:c>
      <x:c r="E826" s="15" t="n">
        <x:v>1</x:v>
      </x:c>
      <x:c r="F826" s="15" t="n">
        <x:v>0</x:v>
      </x:c>
      <x:c r="G826" s="19" t="n">
        <x:v>60</x:v>
      </x:c>
      <x:c r="H826" s="19" t="n">
        <x:v>24</x:v>
      </x:c>
      <x:c r="I826" s="17" t="n">
        <x:v>0.1</x:v>
      </x:c>
      <x:c r="J826" s="19" t="n">
        <x:v>6</x:v>
      </x:c>
      <x:c r="K826" s="19" t="n">
        <x:f>E826*G826</x:f>
        <x:v>60</x:v>
      </x:c>
      <x:c r="L826" s="19" t="n">
        <x:f>K826*I826</x:f>
        <x:v>6</x:v>
      </x:c>
      <x:c r="M826" s="19" t="n">
        <x:f>(E826-F826)*G826*(1-I826)</x:f>
        <x:v>54</x:v>
      </x:c>
      <x:c r="N826" s="19" t="n">
        <x:f>(E826-F826)*H826</x:f>
        <x:v>24</x:v>
      </x:c>
      <x:c r="O826" s="19" t="n">
        <x:f>F826*J826</x:f>
        <x:v>0</x:v>
      </x:c>
      <x:c r="P826" s="19" t="n">
        <x:f>M826-N826-O826</x:f>
        <x:v>30</x:v>
      </x:c>
    </x:row>
    <x:row r="827">
      <x:c r="A827" s="15" t="str">
        <x:v>SIM-0823</x:v>
      </x:c>
      <x:c r="B827" s="15" t="str">
        <x:v>2026-04</x:v>
      </x:c>
      <x:c r="C827" s="15" t="str">
        <x:v>Calzado</x:v>
      </x:c>
      <x:c r="D827" s="15" t="str">
        <x:v>Tienda</x:v>
      </x:c>
      <x:c r="E827" s="15" t="n">
        <x:v>1</x:v>
      </x:c>
      <x:c r="F827" s="15" t="n">
        <x:v>0</x:v>
      </x:c>
      <x:c r="G827" s="19" t="n">
        <x:v>90</x:v>
      </x:c>
      <x:c r="H827" s="19" t="n">
        <x:v>42</x:v>
      </x:c>
      <x:c r="I827" s="17" t="n">
        <x:v>0</x:v>
      </x:c>
      <x:c r="J827" s="19" t="n">
        <x:v>2</x:v>
      </x:c>
      <x:c r="K827" s="19" t="n">
        <x:f>E827*G827</x:f>
        <x:v>90</x:v>
      </x:c>
      <x:c r="L827" s="19" t="n">
        <x:f>K827*I827</x:f>
        <x:v>0</x:v>
      </x:c>
      <x:c r="M827" s="19" t="n">
        <x:f>(E827-F827)*G827*(1-I827)</x:f>
        <x:v>90</x:v>
      </x:c>
      <x:c r="N827" s="19" t="n">
        <x:f>(E827-F827)*H827</x:f>
        <x:v>42</x:v>
      </x:c>
      <x:c r="O827" s="19" t="n">
        <x:f>F827*J827</x:f>
        <x:v>0</x:v>
      </x:c>
      <x:c r="P827" s="19" t="n">
        <x:f>M827-N827-O827</x:f>
        <x:v>48</x:v>
      </x:c>
    </x:row>
    <x:row r="828">
      <x:c r="A828" s="15" t="str">
        <x:v>SIM-0824</x:v>
      </x:c>
      <x:c r="B828" s="15" t="str">
        <x:v>2026-04</x:v>
      </x:c>
      <x:c r="C828" s="15" t="str">
        <x:v>Calzado</x:v>
      </x:c>
      <x:c r="D828" s="15" t="str">
        <x:v>Online</x:v>
      </x:c>
      <x:c r="E828" s="15" t="n">
        <x:v>1</x:v>
      </x:c>
      <x:c r="F828" s="15" t="n">
        <x:v>0</x:v>
      </x:c>
      <x:c r="G828" s="19" t="n">
        <x:v>90</x:v>
      </x:c>
      <x:c r="H828" s="19" t="n">
        <x:v>42</x:v>
      </x:c>
      <x:c r="I828" s="17" t="n">
        <x:v>0</x:v>
      </x:c>
      <x:c r="J828" s="19" t="n">
        <x:v>6</x:v>
      </x:c>
      <x:c r="K828" s="19" t="n">
        <x:f>E828*G828</x:f>
        <x:v>90</x:v>
      </x:c>
      <x:c r="L828" s="19" t="n">
        <x:f>K828*I828</x:f>
        <x:v>0</x:v>
      </x:c>
      <x:c r="M828" s="19" t="n">
        <x:f>(E828-F828)*G828*(1-I828)</x:f>
        <x:v>90</x:v>
      </x:c>
      <x:c r="N828" s="19" t="n">
        <x:f>(E828-F828)*H828</x:f>
        <x:v>42</x:v>
      </x:c>
      <x:c r="O828" s="19" t="n">
        <x:f>F828*J828</x:f>
        <x:v>0</x:v>
      </x:c>
      <x:c r="P828" s="19" t="n">
        <x:f>M828-N828-O828</x:f>
        <x:v>48</x:v>
      </x:c>
    </x:row>
    <x:row r="829">
      <x:c r="A829" s="15" t="str">
        <x:v>SIM-0825</x:v>
      </x:c>
      <x:c r="B829" s="15" t="str">
        <x:v>2026-04</x:v>
      </x:c>
      <x:c r="C829" s="15" t="str">
        <x:v>Prendas</x:v>
      </x:c>
      <x:c r="D829" s="15" t="str">
        <x:v>Online</x:v>
      </x:c>
      <x:c r="E829" s="15" t="n">
        <x:v>1</x:v>
      </x:c>
      <x:c r="F829" s="15" t="n">
        <x:v>0</x:v>
      </x:c>
      <x:c r="G829" s="19" t="n">
        <x:v>60</x:v>
      </x:c>
      <x:c r="H829" s="19" t="n">
        <x:v>24</x:v>
      </x:c>
      <x:c r="I829" s="17" t="n">
        <x:v>0</x:v>
      </x:c>
      <x:c r="J829" s="19" t="n">
        <x:v>6</x:v>
      </x:c>
      <x:c r="K829" s="19" t="n">
        <x:f>E829*G829</x:f>
        <x:v>60</x:v>
      </x:c>
      <x:c r="L829" s="19" t="n">
        <x:f>K829*I829</x:f>
        <x:v>0</x:v>
      </x:c>
      <x:c r="M829" s="19" t="n">
        <x:f>(E829-F829)*G829*(1-I829)</x:f>
        <x:v>60</x:v>
      </x:c>
      <x:c r="N829" s="19" t="n">
        <x:f>(E829-F829)*H829</x:f>
        <x:v>24</x:v>
      </x:c>
      <x:c r="O829" s="19" t="n">
        <x:f>F829*J829</x:f>
        <x:v>0</x:v>
      </x:c>
      <x:c r="P829" s="19" t="n">
        <x:f>M829-N829-O829</x:f>
        <x:v>36</x:v>
      </x:c>
    </x:row>
    <x:row r="830">
      <x:c r="A830" s="15" t="str">
        <x:v>SIM-0826</x:v>
      </x:c>
      <x:c r="B830" s="15" t="str">
        <x:v>2026-04</x:v>
      </x:c>
      <x:c r="C830" s="15" t="str">
        <x:v>Accesorios</x:v>
      </x:c>
      <x:c r="D830" s="15" t="str">
        <x:v>Online</x:v>
      </x:c>
      <x:c r="E830" s="15" t="n">
        <x:v>1</x:v>
      </x:c>
      <x:c r="F830" s="15" t="n">
        <x:v>0</x:v>
      </x:c>
      <x:c r="G830" s="19" t="n">
        <x:v>30</x:v>
      </x:c>
      <x:c r="H830" s="19" t="n">
        <x:v>9</x:v>
      </x:c>
      <x:c r="I830" s="17" t="n">
        <x:v>0.1</x:v>
      </x:c>
      <x:c r="J830" s="19" t="n">
        <x:v>6</x:v>
      </x:c>
      <x:c r="K830" s="19" t="n">
        <x:f>E830*G830</x:f>
        <x:v>30</x:v>
      </x:c>
      <x:c r="L830" s="19" t="n">
        <x:f>K830*I830</x:f>
        <x:v>3</x:v>
      </x:c>
      <x:c r="M830" s="19" t="n">
        <x:f>(E830-F830)*G830*(1-I830)</x:f>
        <x:v>27</x:v>
      </x:c>
      <x:c r="N830" s="19" t="n">
        <x:f>(E830-F830)*H830</x:f>
        <x:v>9</x:v>
      </x:c>
      <x:c r="O830" s="19" t="n">
        <x:f>F830*J830</x:f>
        <x:v>0</x:v>
      </x:c>
      <x:c r="P830" s="19" t="n">
        <x:f>M830-N830-O830</x:f>
        <x:v>18</x:v>
      </x:c>
    </x:row>
    <x:row r="831">
      <x:c r="A831" s="15" t="str">
        <x:v>SIM-0827</x:v>
      </x:c>
      <x:c r="B831" s="15" t="str">
        <x:v>2026-04</x:v>
      </x:c>
      <x:c r="C831" s="15" t="str">
        <x:v>Accesorios</x:v>
      </x:c>
      <x:c r="D831" s="15" t="str">
        <x:v>Online</x:v>
      </x:c>
      <x:c r="E831" s="15" t="n">
        <x:v>1</x:v>
      </x:c>
      <x:c r="F831" s="15" t="n">
        <x:v>0</x:v>
      </x:c>
      <x:c r="G831" s="19" t="n">
        <x:v>30</x:v>
      </x:c>
      <x:c r="H831" s="19" t="n">
        <x:v>9</x:v>
      </x:c>
      <x:c r="I831" s="17" t="n">
        <x:v>0</x:v>
      </x:c>
      <x:c r="J831" s="19" t="n">
        <x:v>6</x:v>
      </x:c>
      <x:c r="K831" s="19" t="n">
        <x:f>E831*G831</x:f>
        <x:v>30</x:v>
      </x:c>
      <x:c r="L831" s="19" t="n">
        <x:f>K831*I831</x:f>
        <x:v>0</x:v>
      </x:c>
      <x:c r="M831" s="19" t="n">
        <x:f>(E831-F831)*G831*(1-I831)</x:f>
        <x:v>30</x:v>
      </x:c>
      <x:c r="N831" s="19" t="n">
        <x:f>(E831-F831)*H831</x:f>
        <x:v>9</x:v>
      </x:c>
      <x:c r="O831" s="19" t="n">
        <x:f>F831*J831</x:f>
        <x:v>0</x:v>
      </x:c>
      <x:c r="P831" s="19" t="n">
        <x:f>M831-N831-O831</x:f>
        <x:v>21</x:v>
      </x:c>
    </x:row>
    <x:row r="832">
      <x:c r="A832" s="15" t="str">
        <x:v>SIM-0828</x:v>
      </x:c>
      <x:c r="B832" s="15" t="str">
        <x:v>2026-04</x:v>
      </x:c>
      <x:c r="C832" s="15" t="str">
        <x:v>Prendas</x:v>
      </x:c>
      <x:c r="D832" s="15" t="str">
        <x:v>Tienda</x:v>
      </x:c>
      <x:c r="E832" s="15" t="n">
        <x:v>1</x:v>
      </x:c>
      <x:c r="F832" s="15" t="n">
        <x:v>0</x:v>
      </x:c>
      <x:c r="G832" s="19" t="n">
        <x:v>60</x:v>
      </x:c>
      <x:c r="H832" s="19" t="n">
        <x:v>24</x:v>
      </x:c>
      <x:c r="I832" s="17" t="n">
        <x:v>0.1</x:v>
      </x:c>
      <x:c r="J832" s="19" t="n">
        <x:v>2</x:v>
      </x:c>
      <x:c r="K832" s="19" t="n">
        <x:f>E832*G832</x:f>
        <x:v>60</x:v>
      </x:c>
      <x:c r="L832" s="19" t="n">
        <x:f>K832*I832</x:f>
        <x:v>6</x:v>
      </x:c>
      <x:c r="M832" s="19" t="n">
        <x:f>(E832-F832)*G832*(1-I832)</x:f>
        <x:v>54</x:v>
      </x:c>
      <x:c r="N832" s="19" t="n">
        <x:f>(E832-F832)*H832</x:f>
        <x:v>24</x:v>
      </x:c>
      <x:c r="O832" s="19" t="n">
        <x:f>F832*J832</x:f>
        <x:v>0</x:v>
      </x:c>
      <x:c r="P832" s="19" t="n">
        <x:f>M832-N832-O832</x:f>
        <x:v>30</x:v>
      </x:c>
    </x:row>
    <x:row r="833">
      <x:c r="A833" s="15" t="str">
        <x:v>SIM-0829</x:v>
      </x:c>
      <x:c r="B833" s="15" t="str">
        <x:v>2026-04</x:v>
      </x:c>
      <x:c r="C833" s="15" t="str">
        <x:v>Prendas</x:v>
      </x:c>
      <x:c r="D833" s="15" t="str">
        <x:v>Online</x:v>
      </x:c>
      <x:c r="E833" s="15" t="n">
        <x:v>1</x:v>
      </x:c>
      <x:c r="F833" s="15" t="n">
        <x:v>0</x:v>
      </x:c>
      <x:c r="G833" s="19" t="n">
        <x:v>60</x:v>
      </x:c>
      <x:c r="H833" s="19" t="n">
        <x:v>24</x:v>
      </x:c>
      <x:c r="I833" s="17" t="n">
        <x:v>0.3</x:v>
      </x:c>
      <x:c r="J833" s="19" t="n">
        <x:v>6</x:v>
      </x:c>
      <x:c r="K833" s="19" t="n">
        <x:f>E833*G833</x:f>
        <x:v>60</x:v>
      </x:c>
      <x:c r="L833" s="19" t="n">
        <x:f>K833*I833</x:f>
        <x:v>18</x:v>
      </x:c>
      <x:c r="M833" s="19" t="n">
        <x:f>(E833-F833)*G833*(1-I833)</x:f>
        <x:v>42</x:v>
      </x:c>
      <x:c r="N833" s="19" t="n">
        <x:f>(E833-F833)*H833</x:f>
        <x:v>24</x:v>
      </x:c>
      <x:c r="O833" s="19" t="n">
        <x:f>F833*J833</x:f>
        <x:v>0</x:v>
      </x:c>
      <x:c r="P833" s="19" t="n">
        <x:f>M833-N833-O833</x:f>
        <x:v>18</x:v>
      </x:c>
    </x:row>
    <x:row r="834">
      <x:c r="A834" s="15" t="str">
        <x:v>SIM-0830</x:v>
      </x:c>
      <x:c r="B834" s="15" t="str">
        <x:v>2026-04</x:v>
      </x:c>
      <x:c r="C834" s="15" t="str">
        <x:v>Accesorios</x:v>
      </x:c>
      <x:c r="D834" s="15" t="str">
        <x:v>Tienda</x:v>
      </x:c>
      <x:c r="E834" s="15" t="n">
        <x:v>1</x:v>
      </x:c>
      <x:c r="F834" s="15" t="n">
        <x:v>0</x:v>
      </x:c>
      <x:c r="G834" s="19" t="n">
        <x:v>30</x:v>
      </x:c>
      <x:c r="H834" s="19" t="n">
        <x:v>9</x:v>
      </x:c>
      <x:c r="I834" s="17" t="n">
        <x:v>0</x:v>
      </x:c>
      <x:c r="J834" s="19" t="n">
        <x:v>2</x:v>
      </x:c>
      <x:c r="K834" s="19" t="n">
        <x:f>E834*G834</x:f>
        <x:v>30</x:v>
      </x:c>
      <x:c r="L834" s="19" t="n">
        <x:f>K834*I834</x:f>
        <x:v>0</x:v>
      </x:c>
      <x:c r="M834" s="19" t="n">
        <x:f>(E834-F834)*G834*(1-I834)</x:f>
        <x:v>30</x:v>
      </x:c>
      <x:c r="N834" s="19" t="n">
        <x:f>(E834-F834)*H834</x:f>
        <x:v>9</x:v>
      </x:c>
      <x:c r="O834" s="19" t="n">
        <x:f>F834*J834</x:f>
        <x:v>0</x:v>
      </x:c>
      <x:c r="P834" s="19" t="n">
        <x:f>M834-N834-O834</x:f>
        <x:v>21</x:v>
      </x:c>
    </x:row>
    <x:row r="835">
      <x:c r="A835" s="15" t="str">
        <x:v>SIM-0831</x:v>
      </x:c>
      <x:c r="B835" s="15" t="str">
        <x:v>2026-04</x:v>
      </x:c>
      <x:c r="C835" s="15" t="str">
        <x:v>Calzado</x:v>
      </x:c>
      <x:c r="D835" s="15" t="str">
        <x:v>Online</x:v>
      </x:c>
      <x:c r="E835" s="15" t="n">
        <x:v>1</x:v>
      </x:c>
      <x:c r="F835" s="15" t="n">
        <x:v>0</x:v>
      </x:c>
      <x:c r="G835" s="19" t="n">
        <x:v>90</x:v>
      </x:c>
      <x:c r="H835" s="19" t="n">
        <x:v>42</x:v>
      </x:c>
      <x:c r="I835" s="17" t="n">
        <x:v>0.2</x:v>
      </x:c>
      <x:c r="J835" s="19" t="n">
        <x:v>6</x:v>
      </x:c>
      <x:c r="K835" s="19" t="n">
        <x:f>E835*G835</x:f>
        <x:v>90</x:v>
      </x:c>
      <x:c r="L835" s="19" t="n">
        <x:f>K835*I835</x:f>
        <x:v>18</x:v>
      </x:c>
      <x:c r="M835" s="19" t="n">
        <x:f>(E835-F835)*G835*(1-I835)</x:f>
        <x:v>72</x:v>
      </x:c>
      <x:c r="N835" s="19" t="n">
        <x:f>(E835-F835)*H835</x:f>
        <x:v>42</x:v>
      </x:c>
      <x:c r="O835" s="19" t="n">
        <x:f>F835*J835</x:f>
        <x:v>0</x:v>
      </x:c>
      <x:c r="P835" s="19" t="n">
        <x:f>M835-N835-O835</x:f>
        <x:v>30</x:v>
      </x:c>
    </x:row>
    <x:row r="836">
      <x:c r="A836" s="15" t="str">
        <x:v>SIM-0832</x:v>
      </x:c>
      <x:c r="B836" s="15" t="str">
        <x:v>2026-04</x:v>
      </x:c>
      <x:c r="C836" s="15" t="str">
        <x:v>Accesorios</x:v>
      </x:c>
      <x:c r="D836" s="15" t="str">
        <x:v>Tienda</x:v>
      </x:c>
      <x:c r="E836" s="15" t="n">
        <x:v>2</x:v>
      </x:c>
      <x:c r="F836" s="15" t="n">
        <x:v>0</x:v>
      </x:c>
      <x:c r="G836" s="19" t="n">
        <x:v>30</x:v>
      </x:c>
      <x:c r="H836" s="19" t="n">
        <x:v>9</x:v>
      </x:c>
      <x:c r="I836" s="17" t="n">
        <x:v>0.2</x:v>
      </x:c>
      <x:c r="J836" s="19" t="n">
        <x:v>2</x:v>
      </x:c>
      <x:c r="K836" s="19" t="n">
        <x:f>E836*G836</x:f>
        <x:v>60</x:v>
      </x:c>
      <x:c r="L836" s="19" t="n">
        <x:f>K836*I836</x:f>
        <x:v>12</x:v>
      </x:c>
      <x:c r="M836" s="19" t="n">
        <x:f>(E836-F836)*G836*(1-I836)</x:f>
        <x:v>48</x:v>
      </x:c>
      <x:c r="N836" s="19" t="n">
        <x:f>(E836-F836)*H836</x:f>
        <x:v>18</x:v>
      </x:c>
      <x:c r="O836" s="19" t="n">
        <x:f>F836*J836</x:f>
        <x:v>0</x:v>
      </x:c>
      <x:c r="P836" s="19" t="n">
        <x:f>M836-N836-O836</x:f>
        <x:v>30</x:v>
      </x:c>
    </x:row>
    <x:row r="837">
      <x:c r="A837" s="15" t="str">
        <x:v>SIM-0833</x:v>
      </x:c>
      <x:c r="B837" s="15" t="str">
        <x:v>2026-04</x:v>
      </x:c>
      <x:c r="C837" s="15" t="str">
        <x:v>Accesorios</x:v>
      </x:c>
      <x:c r="D837" s="15" t="str">
        <x:v>Online</x:v>
      </x:c>
      <x:c r="E837" s="15" t="n">
        <x:v>2</x:v>
      </x:c>
      <x:c r="F837" s="15" t="n">
        <x:v>1</x:v>
      </x:c>
      <x:c r="G837" s="19" t="n">
        <x:v>30</x:v>
      </x:c>
      <x:c r="H837" s="19" t="n">
        <x:v>9</x:v>
      </x:c>
      <x:c r="I837" s="17" t="n">
        <x:v>0</x:v>
      </x:c>
      <x:c r="J837" s="19" t="n">
        <x:v>6</x:v>
      </x:c>
      <x:c r="K837" s="19" t="n">
        <x:f>E837*G837</x:f>
        <x:v>60</x:v>
      </x:c>
      <x:c r="L837" s="19" t="n">
        <x:f>K837*I837</x:f>
        <x:v>0</x:v>
      </x:c>
      <x:c r="M837" s="19" t="n">
        <x:f>(E837-F837)*G837*(1-I837)</x:f>
        <x:v>30</x:v>
      </x:c>
      <x:c r="N837" s="19" t="n">
        <x:f>(E837-F837)*H837</x:f>
        <x:v>9</x:v>
      </x:c>
      <x:c r="O837" s="19" t="n">
        <x:f>F837*J837</x:f>
        <x:v>6</x:v>
      </x:c>
      <x:c r="P837" s="19" t="n">
        <x:f>M837-N837-O837</x:f>
        <x:v>15</x:v>
      </x:c>
    </x:row>
    <x:row r="838">
      <x:c r="A838" s="15" t="str">
        <x:v>SIM-0834</x:v>
      </x:c>
      <x:c r="B838" s="15" t="str">
        <x:v>2026-04</x:v>
      </x:c>
      <x:c r="C838" s="15" t="str">
        <x:v>Calzado</x:v>
      </x:c>
      <x:c r="D838" s="15" t="str">
        <x:v>Tienda</x:v>
      </x:c>
      <x:c r="E838" s="15" t="n">
        <x:v>1</x:v>
      </x:c>
      <x:c r="F838" s="15" t="n">
        <x:v>0</x:v>
      </x:c>
      <x:c r="G838" s="19" t="n">
        <x:v>90</x:v>
      </x:c>
      <x:c r="H838" s="19" t="n">
        <x:v>42</x:v>
      </x:c>
      <x:c r="I838" s="17" t="n">
        <x:v>0.3</x:v>
      </x:c>
      <x:c r="J838" s="19" t="n">
        <x:v>2</x:v>
      </x:c>
      <x:c r="K838" s="19" t="n">
        <x:f>E838*G838</x:f>
        <x:v>90</x:v>
      </x:c>
      <x:c r="L838" s="19" t="n">
        <x:f>K838*I838</x:f>
        <x:v>27</x:v>
      </x:c>
      <x:c r="M838" s="19" t="n">
        <x:f>(E838-F838)*G838*(1-I838)</x:f>
        <x:v>62.99999999999999</x:v>
      </x:c>
      <x:c r="N838" s="19" t="n">
        <x:f>(E838-F838)*H838</x:f>
        <x:v>42</x:v>
      </x:c>
      <x:c r="O838" s="19" t="n">
        <x:f>F838*J838</x:f>
        <x:v>0</x:v>
      </x:c>
      <x:c r="P838" s="19" t="n">
        <x:f>M838-N838-O838</x:f>
        <x:v>20.999999999999993</x:v>
      </x:c>
    </x:row>
    <x:row r="839">
      <x:c r="A839" s="15" t="str">
        <x:v>SIM-0835</x:v>
      </x:c>
      <x:c r="B839" s="15" t="str">
        <x:v>2026-04</x:v>
      </x:c>
      <x:c r="C839" s="15" t="str">
        <x:v>Prendas</x:v>
      </x:c>
      <x:c r="D839" s="15" t="str">
        <x:v>Tienda</x:v>
      </x:c>
      <x:c r="E839" s="15" t="n">
        <x:v>1</x:v>
      </x:c>
      <x:c r="F839" s="15" t="n">
        <x:v>0</x:v>
      </x:c>
      <x:c r="G839" s="19" t="n">
        <x:v>60</x:v>
      </x:c>
      <x:c r="H839" s="19" t="n">
        <x:v>24</x:v>
      </x:c>
      <x:c r="I839" s="17" t="n">
        <x:v>0.1</x:v>
      </x:c>
      <x:c r="J839" s="19" t="n">
        <x:v>2</x:v>
      </x:c>
      <x:c r="K839" s="19" t="n">
        <x:f>E839*G839</x:f>
        <x:v>60</x:v>
      </x:c>
      <x:c r="L839" s="19" t="n">
        <x:f>K839*I839</x:f>
        <x:v>6</x:v>
      </x:c>
      <x:c r="M839" s="19" t="n">
        <x:f>(E839-F839)*G839*(1-I839)</x:f>
        <x:v>54</x:v>
      </x:c>
      <x:c r="N839" s="19" t="n">
        <x:f>(E839-F839)*H839</x:f>
        <x:v>24</x:v>
      </x:c>
      <x:c r="O839" s="19" t="n">
        <x:f>F839*J839</x:f>
        <x:v>0</x:v>
      </x:c>
      <x:c r="P839" s="19" t="n">
        <x:f>M839-N839-O839</x:f>
        <x:v>30</x:v>
      </x:c>
    </x:row>
    <x:row r="840">
      <x:c r="A840" s="15" t="str">
        <x:v>SIM-0836</x:v>
      </x:c>
      <x:c r="B840" s="15" t="str">
        <x:v>2026-04</x:v>
      </x:c>
      <x:c r="C840" s="15" t="str">
        <x:v>Calzado</x:v>
      </x:c>
      <x:c r="D840" s="15" t="str">
        <x:v>Tienda</x:v>
      </x:c>
      <x:c r="E840" s="15" t="n">
        <x:v>1</x:v>
      </x:c>
      <x:c r="F840" s="15" t="n">
        <x:v>0</x:v>
      </x:c>
      <x:c r="G840" s="19" t="n">
        <x:v>90</x:v>
      </x:c>
      <x:c r="H840" s="19" t="n">
        <x:v>42</x:v>
      </x:c>
      <x:c r="I840" s="17" t="n">
        <x:v>0</x:v>
      </x:c>
      <x:c r="J840" s="19" t="n">
        <x:v>2</x:v>
      </x:c>
      <x:c r="K840" s="19" t="n">
        <x:f>E840*G840</x:f>
        <x:v>90</x:v>
      </x:c>
      <x:c r="L840" s="19" t="n">
        <x:f>K840*I840</x:f>
        <x:v>0</x:v>
      </x:c>
      <x:c r="M840" s="19" t="n">
        <x:f>(E840-F840)*G840*(1-I840)</x:f>
        <x:v>90</x:v>
      </x:c>
      <x:c r="N840" s="19" t="n">
        <x:f>(E840-F840)*H840</x:f>
        <x:v>42</x:v>
      </x:c>
      <x:c r="O840" s="19" t="n">
        <x:f>F840*J840</x:f>
        <x:v>0</x:v>
      </x:c>
      <x:c r="P840" s="19" t="n">
        <x:f>M840-N840-O840</x:f>
        <x:v>48</x:v>
      </x:c>
    </x:row>
    <x:row r="841">
      <x:c r="A841" s="15" t="str">
        <x:v>SIM-0837</x:v>
      </x:c>
      <x:c r="B841" s="15" t="str">
        <x:v>2026-04</x:v>
      </x:c>
      <x:c r="C841" s="15" t="str">
        <x:v>Prendas</x:v>
      </x:c>
      <x:c r="D841" s="15" t="str">
        <x:v>Online</x:v>
      </x:c>
      <x:c r="E841" s="15" t="n">
        <x:v>1</x:v>
      </x:c>
      <x:c r="F841" s="15" t="n">
        <x:v>0</x:v>
      </x:c>
      <x:c r="G841" s="19" t="n">
        <x:v>60</x:v>
      </x:c>
      <x:c r="H841" s="19" t="n">
        <x:v>24</x:v>
      </x:c>
      <x:c r="I841" s="17" t="n">
        <x:v>0.3</x:v>
      </x:c>
      <x:c r="J841" s="19" t="n">
        <x:v>6</x:v>
      </x:c>
      <x:c r="K841" s="19" t="n">
        <x:f>E841*G841</x:f>
        <x:v>60</x:v>
      </x:c>
      <x:c r="L841" s="19" t="n">
        <x:f>K841*I841</x:f>
        <x:v>18</x:v>
      </x:c>
      <x:c r="M841" s="19" t="n">
        <x:f>(E841-F841)*G841*(1-I841)</x:f>
        <x:v>42</x:v>
      </x:c>
      <x:c r="N841" s="19" t="n">
        <x:f>(E841-F841)*H841</x:f>
        <x:v>24</x:v>
      </x:c>
      <x:c r="O841" s="19" t="n">
        <x:f>F841*J841</x:f>
        <x:v>0</x:v>
      </x:c>
      <x:c r="P841" s="19" t="n">
        <x:f>M841-N841-O841</x:f>
        <x:v>18</x:v>
      </x:c>
    </x:row>
    <x:row r="842">
      <x:c r="A842" s="15" t="str">
        <x:v>SIM-0838</x:v>
      </x:c>
      <x:c r="B842" s="15" t="str">
        <x:v>2026-04</x:v>
      </x:c>
      <x:c r="C842" s="15" t="str">
        <x:v>Prendas</x:v>
      </x:c>
      <x:c r="D842" s="15" t="str">
        <x:v>Online</x:v>
      </x:c>
      <x:c r="E842" s="15" t="n">
        <x:v>1</x:v>
      </x:c>
      <x:c r="F842" s="15" t="n">
        <x:v>1</x:v>
      </x:c>
      <x:c r="G842" s="19" t="n">
        <x:v>60</x:v>
      </x:c>
      <x:c r="H842" s="19" t="n">
        <x:v>24</x:v>
      </x:c>
      <x:c r="I842" s="17" t="n">
        <x:v>0.1</x:v>
      </x:c>
      <x:c r="J842" s="19" t="n">
        <x:v>6</x:v>
      </x:c>
      <x:c r="K842" s="19" t="n">
        <x:f>E842*G842</x:f>
        <x:v>60</x:v>
      </x:c>
      <x:c r="L842" s="19" t="n">
        <x:f>K842*I842</x:f>
        <x:v>6</x:v>
      </x:c>
      <x:c r="M842" s="19" t="n">
        <x:f>(E842-F842)*G842*(1-I842)</x:f>
        <x:v>0</x:v>
      </x:c>
      <x:c r="N842" s="19" t="n">
        <x:f>(E842-F842)*H842</x:f>
        <x:v>0</x:v>
      </x:c>
      <x:c r="O842" s="19" t="n">
        <x:f>F842*J842</x:f>
        <x:v>6</x:v>
      </x:c>
      <x:c r="P842" s="19" t="n">
        <x:f>M842-N842-O842</x:f>
        <x:v>-6</x:v>
      </x:c>
    </x:row>
    <x:row r="843">
      <x:c r="A843" s="15" t="str">
        <x:v>SIM-0839</x:v>
      </x:c>
      <x:c r="B843" s="15" t="str">
        <x:v>2026-04</x:v>
      </x:c>
      <x:c r="C843" s="15" t="str">
        <x:v>Prendas</x:v>
      </x:c>
      <x:c r="D843" s="15" t="str">
        <x:v>Online</x:v>
      </x:c>
      <x:c r="E843" s="15" t="n">
        <x:v>2</x:v>
      </x:c>
      <x:c r="F843" s="15" t="n">
        <x:v>0</x:v>
      </x:c>
      <x:c r="G843" s="19" t="n">
        <x:v>60</x:v>
      </x:c>
      <x:c r="H843" s="19" t="n">
        <x:v>24</x:v>
      </x:c>
      <x:c r="I843" s="17" t="n">
        <x:v>0</x:v>
      </x:c>
      <x:c r="J843" s="19" t="n">
        <x:v>6</x:v>
      </x:c>
      <x:c r="K843" s="19" t="n">
        <x:f>E843*G843</x:f>
        <x:v>120</x:v>
      </x:c>
      <x:c r="L843" s="19" t="n">
        <x:f>K843*I843</x:f>
        <x:v>0</x:v>
      </x:c>
      <x:c r="M843" s="19" t="n">
        <x:f>(E843-F843)*G843*(1-I843)</x:f>
        <x:v>120</x:v>
      </x:c>
      <x:c r="N843" s="19" t="n">
        <x:f>(E843-F843)*H843</x:f>
        <x:v>48</x:v>
      </x:c>
      <x:c r="O843" s="19" t="n">
        <x:f>F843*J843</x:f>
        <x:v>0</x:v>
      </x:c>
      <x:c r="P843" s="19" t="n">
        <x:f>M843-N843-O843</x:f>
        <x:v>72</x:v>
      </x:c>
    </x:row>
    <x:row r="844">
      <x:c r="A844" s="15" t="str">
        <x:v>SIM-0840</x:v>
      </x:c>
      <x:c r="B844" s="15" t="str">
        <x:v>2026-04</x:v>
      </x:c>
      <x:c r="C844" s="15" t="str">
        <x:v>Calzado</x:v>
      </x:c>
      <x:c r="D844" s="15" t="str">
        <x:v>Online</x:v>
      </x:c>
      <x:c r="E844" s="15" t="n">
        <x:v>1</x:v>
      </x:c>
      <x:c r="F844" s="15" t="n">
        <x:v>1</x:v>
      </x:c>
      <x:c r="G844" s="19" t="n">
        <x:v>90</x:v>
      </x:c>
      <x:c r="H844" s="19" t="n">
        <x:v>42</x:v>
      </x:c>
      <x:c r="I844" s="17" t="n">
        <x:v>0.1</x:v>
      </x:c>
      <x:c r="J844" s="19" t="n">
        <x:v>6</x:v>
      </x:c>
      <x:c r="K844" s="19" t="n">
        <x:f>E844*G844</x:f>
        <x:v>90</x:v>
      </x:c>
      <x:c r="L844" s="19" t="n">
        <x:f>K844*I844</x:f>
        <x:v>9</x:v>
      </x:c>
      <x:c r="M844" s="19" t="n">
        <x:f>(E844-F844)*G844*(1-I844)</x:f>
        <x:v>0</x:v>
      </x:c>
      <x:c r="N844" s="19" t="n">
        <x:f>(E844-F844)*H844</x:f>
        <x:v>0</x:v>
      </x:c>
      <x:c r="O844" s="19" t="n">
        <x:f>F844*J844</x:f>
        <x:v>6</x:v>
      </x:c>
      <x:c r="P844" s="19" t="n">
        <x:f>M844-N844-O844</x:f>
        <x:v>-6</x:v>
      </x:c>
    </x:row>
    <x:row r="845">
      <x:c r="A845" s="15" t="str">
        <x:v>SIM-0841</x:v>
      </x:c>
      <x:c r="B845" s="15" t="str">
        <x:v>2026-04</x:v>
      </x:c>
      <x:c r="C845" s="15" t="str">
        <x:v>Calzado</x:v>
      </x:c>
      <x:c r="D845" s="15" t="str">
        <x:v>Online</x:v>
      </x:c>
      <x:c r="E845" s="15" t="n">
        <x:v>1</x:v>
      </x:c>
      <x:c r="F845" s="15" t="n">
        <x:v>0</x:v>
      </x:c>
      <x:c r="G845" s="19" t="n">
        <x:v>90</x:v>
      </x:c>
      <x:c r="H845" s="19" t="n">
        <x:v>42</x:v>
      </x:c>
      <x:c r="I845" s="17" t="n">
        <x:v>0.3</x:v>
      </x:c>
      <x:c r="J845" s="19" t="n">
        <x:v>6</x:v>
      </x:c>
      <x:c r="K845" s="19" t="n">
        <x:f>E845*G845</x:f>
        <x:v>90</x:v>
      </x:c>
      <x:c r="L845" s="19" t="n">
        <x:f>K845*I845</x:f>
        <x:v>27</x:v>
      </x:c>
      <x:c r="M845" s="19" t="n">
        <x:f>(E845-F845)*G845*(1-I845)</x:f>
        <x:v>62.99999999999999</x:v>
      </x:c>
      <x:c r="N845" s="19" t="n">
        <x:f>(E845-F845)*H845</x:f>
        <x:v>42</x:v>
      </x:c>
      <x:c r="O845" s="19" t="n">
        <x:f>F845*J845</x:f>
        <x:v>0</x:v>
      </x:c>
      <x:c r="P845" s="19" t="n">
        <x:f>M845-N845-O845</x:f>
        <x:v>20.999999999999993</x:v>
      </x:c>
    </x:row>
    <x:row r="846">
      <x:c r="A846" s="15" t="str">
        <x:v>SIM-0842</x:v>
      </x:c>
      <x:c r="B846" s="15" t="str">
        <x:v>2026-04</x:v>
      </x:c>
      <x:c r="C846" s="15" t="str">
        <x:v>Prendas</x:v>
      </x:c>
      <x:c r="D846" s="15" t="str">
        <x:v>Online</x:v>
      </x:c>
      <x:c r="E846" s="15" t="n">
        <x:v>2</x:v>
      </x:c>
      <x:c r="F846" s="15" t="n">
        <x:v>0</x:v>
      </x:c>
      <x:c r="G846" s="19" t="n">
        <x:v>60</x:v>
      </x:c>
      <x:c r="H846" s="19" t="n">
        <x:v>24</x:v>
      </x:c>
      <x:c r="I846" s="17" t="n">
        <x:v>0</x:v>
      </x:c>
      <x:c r="J846" s="19" t="n">
        <x:v>6</x:v>
      </x:c>
      <x:c r="K846" s="19" t="n">
        <x:f>E846*G846</x:f>
        <x:v>120</x:v>
      </x:c>
      <x:c r="L846" s="19" t="n">
        <x:f>K846*I846</x:f>
        <x:v>0</x:v>
      </x:c>
      <x:c r="M846" s="19" t="n">
        <x:f>(E846-F846)*G846*(1-I846)</x:f>
        <x:v>120</x:v>
      </x:c>
      <x:c r="N846" s="19" t="n">
        <x:f>(E846-F846)*H846</x:f>
        <x:v>48</x:v>
      </x:c>
      <x:c r="O846" s="19" t="n">
        <x:f>F846*J846</x:f>
        <x:v>0</x:v>
      </x:c>
      <x:c r="P846" s="19" t="n">
        <x:f>M846-N846-O846</x:f>
        <x:v>72</x:v>
      </x:c>
    </x:row>
    <x:row r="847">
      <x:c r="A847" s="15" t="str">
        <x:v>SIM-0843</x:v>
      </x:c>
      <x:c r="B847" s="15" t="str">
        <x:v>2026-04</x:v>
      </x:c>
      <x:c r="C847" s="15" t="str">
        <x:v>Prendas</x:v>
      </x:c>
      <x:c r="D847" s="15" t="str">
        <x:v>Tienda</x:v>
      </x:c>
      <x:c r="E847" s="15" t="n">
        <x:v>1</x:v>
      </x:c>
      <x:c r="F847" s="15" t="n">
        <x:v>0</x:v>
      </x:c>
      <x:c r="G847" s="19" t="n">
        <x:v>60</x:v>
      </x:c>
      <x:c r="H847" s="19" t="n">
        <x:v>24</x:v>
      </x:c>
      <x:c r="I847" s="17" t="n">
        <x:v>0</x:v>
      </x:c>
      <x:c r="J847" s="19" t="n">
        <x:v>2</x:v>
      </x:c>
      <x:c r="K847" s="19" t="n">
        <x:f>E847*G847</x:f>
        <x:v>60</x:v>
      </x:c>
      <x:c r="L847" s="19" t="n">
        <x:f>K847*I847</x:f>
        <x:v>0</x:v>
      </x:c>
      <x:c r="M847" s="19" t="n">
        <x:f>(E847-F847)*G847*(1-I847)</x:f>
        <x:v>60</x:v>
      </x:c>
      <x:c r="N847" s="19" t="n">
        <x:f>(E847-F847)*H847</x:f>
        <x:v>24</x:v>
      </x:c>
      <x:c r="O847" s="19" t="n">
        <x:f>F847*J847</x:f>
        <x:v>0</x:v>
      </x:c>
      <x:c r="P847" s="19" t="n">
        <x:f>M847-N847-O847</x:f>
        <x:v>36</x:v>
      </x:c>
    </x:row>
    <x:row r="848">
      <x:c r="A848" s="15" t="str">
        <x:v>SIM-0844</x:v>
      </x:c>
      <x:c r="B848" s="15" t="str">
        <x:v>2026-04</x:v>
      </x:c>
      <x:c r="C848" s="15" t="str">
        <x:v>Calzado</x:v>
      </x:c>
      <x:c r="D848" s="15" t="str">
        <x:v>Online</x:v>
      </x:c>
      <x:c r="E848" s="15" t="n">
        <x:v>1</x:v>
      </x:c>
      <x:c r="F848" s="15" t="n">
        <x:v>0</x:v>
      </x:c>
      <x:c r="G848" s="19" t="n">
        <x:v>90</x:v>
      </x:c>
      <x:c r="H848" s="19" t="n">
        <x:v>42</x:v>
      </x:c>
      <x:c r="I848" s="17" t="n">
        <x:v>0</x:v>
      </x:c>
      <x:c r="J848" s="19" t="n">
        <x:v>6</x:v>
      </x:c>
      <x:c r="K848" s="19" t="n">
        <x:f>E848*G848</x:f>
        <x:v>90</x:v>
      </x:c>
      <x:c r="L848" s="19" t="n">
        <x:f>K848*I848</x:f>
        <x:v>0</x:v>
      </x:c>
      <x:c r="M848" s="19" t="n">
        <x:f>(E848-F848)*G848*(1-I848)</x:f>
        <x:v>90</x:v>
      </x:c>
      <x:c r="N848" s="19" t="n">
        <x:f>(E848-F848)*H848</x:f>
        <x:v>42</x:v>
      </x:c>
      <x:c r="O848" s="19" t="n">
        <x:f>F848*J848</x:f>
        <x:v>0</x:v>
      </x:c>
      <x:c r="P848" s="19" t="n">
        <x:f>M848-N848-O848</x:f>
        <x:v>48</x:v>
      </x:c>
    </x:row>
    <x:row r="849">
      <x:c r="A849" s="15" t="str">
        <x:v>SIM-0845</x:v>
      </x:c>
      <x:c r="B849" s="15" t="str">
        <x:v>2026-04</x:v>
      </x:c>
      <x:c r="C849" s="15" t="str">
        <x:v>Accesorios</x:v>
      </x:c>
      <x:c r="D849" s="15" t="str">
        <x:v>Online</x:v>
      </x:c>
      <x:c r="E849" s="15" t="n">
        <x:v>2</x:v>
      </x:c>
      <x:c r="F849" s="15" t="n">
        <x:v>0</x:v>
      </x:c>
      <x:c r="G849" s="19" t="n">
        <x:v>30</x:v>
      </x:c>
      <x:c r="H849" s="19" t="n">
        <x:v>9</x:v>
      </x:c>
      <x:c r="I849" s="17" t="n">
        <x:v>0.1</x:v>
      </x:c>
      <x:c r="J849" s="19" t="n">
        <x:v>6</x:v>
      </x:c>
      <x:c r="K849" s="19" t="n">
        <x:f>E849*G849</x:f>
        <x:v>60</x:v>
      </x:c>
      <x:c r="L849" s="19" t="n">
        <x:f>K849*I849</x:f>
        <x:v>6</x:v>
      </x:c>
      <x:c r="M849" s="19" t="n">
        <x:f>(E849-F849)*G849*(1-I849)</x:f>
        <x:v>54</x:v>
      </x:c>
      <x:c r="N849" s="19" t="n">
        <x:f>(E849-F849)*H849</x:f>
        <x:v>18</x:v>
      </x:c>
      <x:c r="O849" s="19" t="n">
        <x:f>F849*J849</x:f>
        <x:v>0</x:v>
      </x:c>
      <x:c r="P849" s="19" t="n">
        <x:f>M849-N849-O849</x:f>
        <x:v>36</x:v>
      </x:c>
    </x:row>
    <x:row r="850">
      <x:c r="A850" s="15" t="str">
        <x:v>SIM-0846</x:v>
      </x:c>
      <x:c r="B850" s="15" t="str">
        <x:v>2026-04</x:v>
      </x:c>
      <x:c r="C850" s="15" t="str">
        <x:v>Calzado</x:v>
      </x:c>
      <x:c r="D850" s="15" t="str">
        <x:v>Online</x:v>
      </x:c>
      <x:c r="E850" s="15" t="n">
        <x:v>1</x:v>
      </x:c>
      <x:c r="F850" s="15" t="n">
        <x:v>0</x:v>
      </x:c>
      <x:c r="G850" s="19" t="n">
        <x:v>90</x:v>
      </x:c>
      <x:c r="H850" s="19" t="n">
        <x:v>42</x:v>
      </x:c>
      <x:c r="I850" s="17" t="n">
        <x:v>0.1</x:v>
      </x:c>
      <x:c r="J850" s="19" t="n">
        <x:v>6</x:v>
      </x:c>
      <x:c r="K850" s="19" t="n">
        <x:f>E850*G850</x:f>
        <x:v>90</x:v>
      </x:c>
      <x:c r="L850" s="19" t="n">
        <x:f>K850*I850</x:f>
        <x:v>9</x:v>
      </x:c>
      <x:c r="M850" s="19" t="n">
        <x:f>(E850-F850)*G850*(1-I850)</x:f>
        <x:v>81</x:v>
      </x:c>
      <x:c r="N850" s="19" t="n">
        <x:f>(E850-F850)*H850</x:f>
        <x:v>42</x:v>
      </x:c>
      <x:c r="O850" s="19" t="n">
        <x:f>F850*J850</x:f>
        <x:v>0</x:v>
      </x:c>
      <x:c r="P850" s="19" t="n">
        <x:f>M850-N850-O850</x:f>
        <x:v>39</x:v>
      </x:c>
    </x:row>
    <x:row r="851">
      <x:c r="A851" s="15" t="str">
        <x:v>SIM-0847</x:v>
      </x:c>
      <x:c r="B851" s="15" t="str">
        <x:v>2026-04</x:v>
      </x:c>
      <x:c r="C851" s="15" t="str">
        <x:v>Prendas</x:v>
      </x:c>
      <x:c r="D851" s="15" t="str">
        <x:v>Online</x:v>
      </x:c>
      <x:c r="E851" s="15" t="n">
        <x:v>1</x:v>
      </x:c>
      <x:c r="F851" s="15" t="n">
        <x:v>0</x:v>
      </x:c>
      <x:c r="G851" s="19" t="n">
        <x:v>60</x:v>
      </x:c>
      <x:c r="H851" s="19" t="n">
        <x:v>24</x:v>
      </x:c>
      <x:c r="I851" s="17" t="n">
        <x:v>0</x:v>
      </x:c>
      <x:c r="J851" s="19" t="n">
        <x:v>6</x:v>
      </x:c>
      <x:c r="K851" s="19" t="n">
        <x:f>E851*G851</x:f>
        <x:v>60</x:v>
      </x:c>
      <x:c r="L851" s="19" t="n">
        <x:f>K851*I851</x:f>
        <x:v>0</x:v>
      </x:c>
      <x:c r="M851" s="19" t="n">
        <x:f>(E851-F851)*G851*(1-I851)</x:f>
        <x:v>60</x:v>
      </x:c>
      <x:c r="N851" s="19" t="n">
        <x:f>(E851-F851)*H851</x:f>
        <x:v>24</x:v>
      </x:c>
      <x:c r="O851" s="19" t="n">
        <x:f>F851*J851</x:f>
        <x:v>0</x:v>
      </x:c>
      <x:c r="P851" s="19" t="n">
        <x:f>M851-N851-O851</x:f>
        <x:v>36</x:v>
      </x:c>
    </x:row>
    <x:row r="852">
      <x:c r="A852" s="15" t="str">
        <x:v>SIM-0848</x:v>
      </x:c>
      <x:c r="B852" s="15" t="str">
        <x:v>2026-04</x:v>
      </x:c>
      <x:c r="C852" s="15" t="str">
        <x:v>Prendas</x:v>
      </x:c>
      <x:c r="D852" s="15" t="str">
        <x:v>Tienda</x:v>
      </x:c>
      <x:c r="E852" s="15" t="n">
        <x:v>1</x:v>
      </x:c>
      <x:c r="F852" s="15" t="n">
        <x:v>0</x:v>
      </x:c>
      <x:c r="G852" s="19" t="n">
        <x:v>60</x:v>
      </x:c>
      <x:c r="H852" s="19" t="n">
        <x:v>24</x:v>
      </x:c>
      <x:c r="I852" s="17" t="n">
        <x:v>0</x:v>
      </x:c>
      <x:c r="J852" s="19" t="n">
        <x:v>2</x:v>
      </x:c>
      <x:c r="K852" s="19" t="n">
        <x:f>E852*G852</x:f>
        <x:v>60</x:v>
      </x:c>
      <x:c r="L852" s="19" t="n">
        <x:f>K852*I852</x:f>
        <x:v>0</x:v>
      </x:c>
      <x:c r="M852" s="19" t="n">
        <x:f>(E852-F852)*G852*(1-I852)</x:f>
        <x:v>60</x:v>
      </x:c>
      <x:c r="N852" s="19" t="n">
        <x:f>(E852-F852)*H852</x:f>
        <x:v>24</x:v>
      </x:c>
      <x:c r="O852" s="19" t="n">
        <x:f>F852*J852</x:f>
        <x:v>0</x:v>
      </x:c>
      <x:c r="P852" s="19" t="n">
        <x:f>M852-N852-O852</x:f>
        <x:v>36</x:v>
      </x:c>
    </x:row>
    <x:row r="853">
      <x:c r="A853" s="15" t="str">
        <x:v>SIM-0849</x:v>
      </x:c>
      <x:c r="B853" s="15" t="str">
        <x:v>2026-04</x:v>
      </x:c>
      <x:c r="C853" s="15" t="str">
        <x:v>Accesorios</x:v>
      </x:c>
      <x:c r="D853" s="15" t="str">
        <x:v>Tienda</x:v>
      </x:c>
      <x:c r="E853" s="15" t="n">
        <x:v>1</x:v>
      </x:c>
      <x:c r="F853" s="15" t="n">
        <x:v>0</x:v>
      </x:c>
      <x:c r="G853" s="19" t="n">
        <x:v>30</x:v>
      </x:c>
      <x:c r="H853" s="19" t="n">
        <x:v>9</x:v>
      </x:c>
      <x:c r="I853" s="17" t="n">
        <x:v>0</x:v>
      </x:c>
      <x:c r="J853" s="19" t="n">
        <x:v>2</x:v>
      </x:c>
      <x:c r="K853" s="19" t="n">
        <x:f>E853*G853</x:f>
        <x:v>30</x:v>
      </x:c>
      <x:c r="L853" s="19" t="n">
        <x:f>K853*I853</x:f>
        <x:v>0</x:v>
      </x:c>
      <x:c r="M853" s="19" t="n">
        <x:f>(E853-F853)*G853*(1-I853)</x:f>
        <x:v>30</x:v>
      </x:c>
      <x:c r="N853" s="19" t="n">
        <x:f>(E853-F853)*H853</x:f>
        <x:v>9</x:v>
      </x:c>
      <x:c r="O853" s="19" t="n">
        <x:f>F853*J853</x:f>
        <x:v>0</x:v>
      </x:c>
      <x:c r="P853" s="19" t="n">
        <x:f>M853-N853-O853</x:f>
        <x:v>21</x:v>
      </x:c>
    </x:row>
    <x:row r="854">
      <x:c r="A854" s="15" t="str">
        <x:v>SIM-0850</x:v>
      </x:c>
      <x:c r="B854" s="15" t="str">
        <x:v>2026-04</x:v>
      </x:c>
      <x:c r="C854" s="15" t="str">
        <x:v>Calzado</x:v>
      </x:c>
      <x:c r="D854" s="15" t="str">
        <x:v>Tienda</x:v>
      </x:c>
      <x:c r="E854" s="15" t="n">
        <x:v>1</x:v>
      </x:c>
      <x:c r="F854" s="15" t="n">
        <x:v>0</x:v>
      </x:c>
      <x:c r="G854" s="19" t="n">
        <x:v>90</x:v>
      </x:c>
      <x:c r="H854" s="19" t="n">
        <x:v>42</x:v>
      </x:c>
      <x:c r="I854" s="17" t="n">
        <x:v>0</x:v>
      </x:c>
      <x:c r="J854" s="19" t="n">
        <x:v>2</x:v>
      </x:c>
      <x:c r="K854" s="19" t="n">
        <x:f>E854*G854</x:f>
        <x:v>90</x:v>
      </x:c>
      <x:c r="L854" s="19" t="n">
        <x:f>K854*I854</x:f>
        <x:v>0</x:v>
      </x:c>
      <x:c r="M854" s="19" t="n">
        <x:f>(E854-F854)*G854*(1-I854)</x:f>
        <x:v>90</x:v>
      </x:c>
      <x:c r="N854" s="19" t="n">
        <x:f>(E854-F854)*H854</x:f>
        <x:v>42</x:v>
      </x:c>
      <x:c r="O854" s="19" t="n">
        <x:f>F854*J854</x:f>
        <x:v>0</x:v>
      </x:c>
      <x:c r="P854" s="19" t="n">
        <x:f>M854-N854-O854</x:f>
        <x:v>48</x:v>
      </x:c>
    </x:row>
    <x:row r="855">
      <x:c r="A855" s="15" t="str">
        <x:v>SIM-0851</x:v>
      </x:c>
      <x:c r="B855" s="15" t="str">
        <x:v>2026-04</x:v>
      </x:c>
      <x:c r="C855" s="15" t="str">
        <x:v>Calzado</x:v>
      </x:c>
      <x:c r="D855" s="15" t="str">
        <x:v>Tienda</x:v>
      </x:c>
      <x:c r="E855" s="15" t="n">
        <x:v>1</x:v>
      </x:c>
      <x:c r="F855" s="15" t="n">
        <x:v>0</x:v>
      </x:c>
      <x:c r="G855" s="19" t="n">
        <x:v>90</x:v>
      </x:c>
      <x:c r="H855" s="19" t="n">
        <x:v>42</x:v>
      </x:c>
      <x:c r="I855" s="17" t="n">
        <x:v>0.3</x:v>
      </x:c>
      <x:c r="J855" s="19" t="n">
        <x:v>2</x:v>
      </x:c>
      <x:c r="K855" s="19" t="n">
        <x:f>E855*G855</x:f>
        <x:v>90</x:v>
      </x:c>
      <x:c r="L855" s="19" t="n">
        <x:f>K855*I855</x:f>
        <x:v>27</x:v>
      </x:c>
      <x:c r="M855" s="19" t="n">
        <x:f>(E855-F855)*G855*(1-I855)</x:f>
        <x:v>62.99999999999999</x:v>
      </x:c>
      <x:c r="N855" s="19" t="n">
        <x:f>(E855-F855)*H855</x:f>
        <x:v>42</x:v>
      </x:c>
      <x:c r="O855" s="19" t="n">
        <x:f>F855*J855</x:f>
        <x:v>0</x:v>
      </x:c>
      <x:c r="P855" s="19" t="n">
        <x:f>M855-N855-O855</x:f>
        <x:v>20.999999999999993</x:v>
      </x:c>
    </x:row>
    <x:row r="856">
      <x:c r="A856" s="15" t="str">
        <x:v>SIM-0852</x:v>
      </x:c>
      <x:c r="B856" s="15" t="str">
        <x:v>2026-04</x:v>
      </x:c>
      <x:c r="C856" s="15" t="str">
        <x:v>Accesorios</x:v>
      </x:c>
      <x:c r="D856" s="15" t="str">
        <x:v>Tienda</x:v>
      </x:c>
      <x:c r="E856" s="15" t="n">
        <x:v>1</x:v>
      </x:c>
      <x:c r="F856" s="15" t="n">
        <x:v>0</x:v>
      </x:c>
      <x:c r="G856" s="19" t="n">
        <x:v>30</x:v>
      </x:c>
      <x:c r="H856" s="19" t="n">
        <x:v>9</x:v>
      </x:c>
      <x:c r="I856" s="17" t="n">
        <x:v>0</x:v>
      </x:c>
      <x:c r="J856" s="19" t="n">
        <x:v>2</x:v>
      </x:c>
      <x:c r="K856" s="19" t="n">
        <x:f>E856*G856</x:f>
        <x:v>30</x:v>
      </x:c>
      <x:c r="L856" s="19" t="n">
        <x:f>K856*I856</x:f>
        <x:v>0</x:v>
      </x:c>
      <x:c r="M856" s="19" t="n">
        <x:f>(E856-F856)*G856*(1-I856)</x:f>
        <x:v>30</x:v>
      </x:c>
      <x:c r="N856" s="19" t="n">
        <x:f>(E856-F856)*H856</x:f>
        <x:v>9</x:v>
      </x:c>
      <x:c r="O856" s="19" t="n">
        <x:f>F856*J856</x:f>
        <x:v>0</x:v>
      </x:c>
      <x:c r="P856" s="19" t="n">
        <x:f>M856-N856-O856</x:f>
        <x:v>21</x:v>
      </x:c>
    </x:row>
    <x:row r="857">
      <x:c r="A857" s="15" t="str">
        <x:v>SIM-0853</x:v>
      </x:c>
      <x:c r="B857" s="15" t="str">
        <x:v>2026-04</x:v>
      </x:c>
      <x:c r="C857" s="15" t="str">
        <x:v>Prendas</x:v>
      </x:c>
      <x:c r="D857" s="15" t="str">
        <x:v>Online</x:v>
      </x:c>
      <x:c r="E857" s="15" t="n">
        <x:v>2</x:v>
      </x:c>
      <x:c r="F857" s="15" t="n">
        <x:v>0</x:v>
      </x:c>
      <x:c r="G857" s="19" t="n">
        <x:v>60</x:v>
      </x:c>
      <x:c r="H857" s="19" t="n">
        <x:v>24</x:v>
      </x:c>
      <x:c r="I857" s="17" t="n">
        <x:v>0.1</x:v>
      </x:c>
      <x:c r="J857" s="19" t="n">
        <x:v>6</x:v>
      </x:c>
      <x:c r="K857" s="19" t="n">
        <x:f>E857*G857</x:f>
        <x:v>120</x:v>
      </x:c>
      <x:c r="L857" s="19" t="n">
        <x:f>K857*I857</x:f>
        <x:v>12</x:v>
      </x:c>
      <x:c r="M857" s="19" t="n">
        <x:f>(E857-F857)*G857*(1-I857)</x:f>
        <x:v>108</x:v>
      </x:c>
      <x:c r="N857" s="19" t="n">
        <x:f>(E857-F857)*H857</x:f>
        <x:v>48</x:v>
      </x:c>
      <x:c r="O857" s="19" t="n">
        <x:f>F857*J857</x:f>
        <x:v>0</x:v>
      </x:c>
      <x:c r="P857" s="19" t="n">
        <x:f>M857-N857-O857</x:f>
        <x:v>60</x:v>
      </x:c>
    </x:row>
    <x:row r="858">
      <x:c r="A858" s="15" t="str">
        <x:v>SIM-0854</x:v>
      </x:c>
      <x:c r="B858" s="15" t="str">
        <x:v>2026-04</x:v>
      </x:c>
      <x:c r="C858" s="15" t="str">
        <x:v>Prendas</x:v>
      </x:c>
      <x:c r="D858" s="15" t="str">
        <x:v>Tienda</x:v>
      </x:c>
      <x:c r="E858" s="15" t="n">
        <x:v>3</x:v>
      </x:c>
      <x:c r="F858" s="15" t="n">
        <x:v>0</x:v>
      </x:c>
      <x:c r="G858" s="19" t="n">
        <x:v>60</x:v>
      </x:c>
      <x:c r="H858" s="19" t="n">
        <x:v>24</x:v>
      </x:c>
      <x:c r="I858" s="17" t="n">
        <x:v>0.3</x:v>
      </x:c>
      <x:c r="J858" s="19" t="n">
        <x:v>2</x:v>
      </x:c>
      <x:c r="K858" s="19" t="n">
        <x:f>E858*G858</x:f>
        <x:v>180</x:v>
      </x:c>
      <x:c r="L858" s="19" t="n">
        <x:f>K858*I858</x:f>
        <x:v>54</x:v>
      </x:c>
      <x:c r="M858" s="19" t="n">
        <x:f>(E858-F858)*G858*(1-I858)</x:f>
        <x:v>125.99999999999999</x:v>
      </x:c>
      <x:c r="N858" s="19" t="n">
        <x:f>(E858-F858)*H858</x:f>
        <x:v>72</x:v>
      </x:c>
      <x:c r="O858" s="19" t="n">
        <x:f>F858*J858</x:f>
        <x:v>0</x:v>
      </x:c>
      <x:c r="P858" s="19" t="n">
        <x:f>M858-N858-O858</x:f>
        <x:v>53.999999999999986</x:v>
      </x:c>
    </x:row>
    <x:row r="859">
      <x:c r="A859" s="15" t="str">
        <x:v>SIM-0855</x:v>
      </x:c>
      <x:c r="B859" s="15" t="str">
        <x:v>2026-04</x:v>
      </x:c>
      <x:c r="C859" s="15" t="str">
        <x:v>Calzado</x:v>
      </x:c>
      <x:c r="D859" s="15" t="str">
        <x:v>Tienda</x:v>
      </x:c>
      <x:c r="E859" s="15" t="n">
        <x:v>1</x:v>
      </x:c>
      <x:c r="F859" s="15" t="n">
        <x:v>1</x:v>
      </x:c>
      <x:c r="G859" s="19" t="n">
        <x:v>90</x:v>
      </x:c>
      <x:c r="H859" s="19" t="n">
        <x:v>42</x:v>
      </x:c>
      <x:c r="I859" s="17" t="n">
        <x:v>0.2</x:v>
      </x:c>
      <x:c r="J859" s="19" t="n">
        <x:v>2</x:v>
      </x:c>
      <x:c r="K859" s="19" t="n">
        <x:f>E859*G859</x:f>
        <x:v>90</x:v>
      </x:c>
      <x:c r="L859" s="19" t="n">
        <x:f>K859*I859</x:f>
        <x:v>18</x:v>
      </x:c>
      <x:c r="M859" s="19" t="n">
        <x:f>(E859-F859)*G859*(1-I859)</x:f>
        <x:v>0</x:v>
      </x:c>
      <x:c r="N859" s="19" t="n">
        <x:f>(E859-F859)*H859</x:f>
        <x:v>0</x:v>
      </x:c>
      <x:c r="O859" s="19" t="n">
        <x:f>F859*J859</x:f>
        <x:v>2</x:v>
      </x:c>
      <x:c r="P859" s="19" t="n">
        <x:f>M859-N859-O859</x:f>
        <x:v>-2</x:v>
      </x:c>
    </x:row>
    <x:row r="860">
      <x:c r="A860" s="15" t="str">
        <x:v>SIM-0856</x:v>
      </x:c>
      <x:c r="B860" s="15" t="str">
        <x:v>2026-04</x:v>
      </x:c>
      <x:c r="C860" s="15" t="str">
        <x:v>Accesorios</x:v>
      </x:c>
      <x:c r="D860" s="15" t="str">
        <x:v>Tienda</x:v>
      </x:c>
      <x:c r="E860" s="15" t="n">
        <x:v>1</x:v>
      </x:c>
      <x:c r="F860" s="15" t="n">
        <x:v>0</x:v>
      </x:c>
      <x:c r="G860" s="19" t="n">
        <x:v>30</x:v>
      </x:c>
      <x:c r="H860" s="19" t="n">
        <x:v>9</x:v>
      </x:c>
      <x:c r="I860" s="17" t="n">
        <x:v>0</x:v>
      </x:c>
      <x:c r="J860" s="19" t="n">
        <x:v>2</x:v>
      </x:c>
      <x:c r="K860" s="19" t="n">
        <x:f>E860*G860</x:f>
        <x:v>30</x:v>
      </x:c>
      <x:c r="L860" s="19" t="n">
        <x:f>K860*I860</x:f>
        <x:v>0</x:v>
      </x:c>
      <x:c r="M860" s="19" t="n">
        <x:f>(E860-F860)*G860*(1-I860)</x:f>
        <x:v>30</x:v>
      </x:c>
      <x:c r="N860" s="19" t="n">
        <x:f>(E860-F860)*H860</x:f>
        <x:v>9</x:v>
      </x:c>
      <x:c r="O860" s="19" t="n">
        <x:f>F860*J860</x:f>
        <x:v>0</x:v>
      </x:c>
      <x:c r="P860" s="19" t="n">
        <x:f>M860-N860-O860</x:f>
        <x:v>21</x:v>
      </x:c>
    </x:row>
    <x:row r="861">
      <x:c r="A861" s="15" t="str">
        <x:v>SIM-0857</x:v>
      </x:c>
      <x:c r="B861" s="15" t="str">
        <x:v>2026-04</x:v>
      </x:c>
      <x:c r="C861" s="15" t="str">
        <x:v>Prendas</x:v>
      </x:c>
      <x:c r="D861" s="15" t="str">
        <x:v>Online</x:v>
      </x:c>
      <x:c r="E861" s="15" t="n">
        <x:v>3</x:v>
      </x:c>
      <x:c r="F861" s="15" t="n">
        <x:v>0</x:v>
      </x:c>
      <x:c r="G861" s="19" t="n">
        <x:v>60</x:v>
      </x:c>
      <x:c r="H861" s="19" t="n">
        <x:v>24</x:v>
      </x:c>
      <x:c r="I861" s="17" t="n">
        <x:v>0.3</x:v>
      </x:c>
      <x:c r="J861" s="19" t="n">
        <x:v>6</x:v>
      </x:c>
      <x:c r="K861" s="19" t="n">
        <x:f>E861*G861</x:f>
        <x:v>180</x:v>
      </x:c>
      <x:c r="L861" s="19" t="n">
        <x:f>K861*I861</x:f>
        <x:v>54</x:v>
      </x:c>
      <x:c r="M861" s="19" t="n">
        <x:f>(E861-F861)*G861*(1-I861)</x:f>
        <x:v>125.99999999999999</x:v>
      </x:c>
      <x:c r="N861" s="19" t="n">
        <x:f>(E861-F861)*H861</x:f>
        <x:v>72</x:v>
      </x:c>
      <x:c r="O861" s="19" t="n">
        <x:f>F861*J861</x:f>
        <x:v>0</x:v>
      </x:c>
      <x:c r="P861" s="19" t="n">
        <x:f>M861-N861-O861</x:f>
        <x:v>53.999999999999986</x:v>
      </x:c>
    </x:row>
    <x:row r="862">
      <x:c r="A862" s="15" t="str">
        <x:v>SIM-0858</x:v>
      </x:c>
      <x:c r="B862" s="15" t="str">
        <x:v>2026-04</x:v>
      </x:c>
      <x:c r="C862" s="15" t="str">
        <x:v>Accesorios</x:v>
      </x:c>
      <x:c r="D862" s="15" t="str">
        <x:v>Tienda</x:v>
      </x:c>
      <x:c r="E862" s="15" t="n">
        <x:v>1</x:v>
      </x:c>
      <x:c r="F862" s="15" t="n">
        <x:v>0</x:v>
      </x:c>
      <x:c r="G862" s="19" t="n">
        <x:v>30</x:v>
      </x:c>
      <x:c r="H862" s="19" t="n">
        <x:v>9</x:v>
      </x:c>
      <x:c r="I862" s="17" t="n">
        <x:v>0</x:v>
      </x:c>
      <x:c r="J862" s="19" t="n">
        <x:v>2</x:v>
      </x:c>
      <x:c r="K862" s="19" t="n">
        <x:f>E862*G862</x:f>
        <x:v>30</x:v>
      </x:c>
      <x:c r="L862" s="19" t="n">
        <x:f>K862*I862</x:f>
        <x:v>0</x:v>
      </x:c>
      <x:c r="M862" s="19" t="n">
        <x:f>(E862-F862)*G862*(1-I862)</x:f>
        <x:v>30</x:v>
      </x:c>
      <x:c r="N862" s="19" t="n">
        <x:f>(E862-F862)*H862</x:f>
        <x:v>9</x:v>
      </x:c>
      <x:c r="O862" s="19" t="n">
        <x:f>F862*J862</x:f>
        <x:v>0</x:v>
      </x:c>
      <x:c r="P862" s="19" t="n">
        <x:f>M862-N862-O862</x:f>
        <x:v>21</x:v>
      </x:c>
    </x:row>
    <x:row r="863">
      <x:c r="A863" s="15" t="str">
        <x:v>SIM-0859</x:v>
      </x:c>
      <x:c r="B863" s="15" t="str">
        <x:v>2026-04</x:v>
      </x:c>
      <x:c r="C863" s="15" t="str">
        <x:v>Prendas</x:v>
      </x:c>
      <x:c r="D863" s="15" t="str">
        <x:v>Online</x:v>
      </x:c>
      <x:c r="E863" s="15" t="n">
        <x:v>2</x:v>
      </x:c>
      <x:c r="F863" s="15" t="n">
        <x:v>1</x:v>
      </x:c>
      <x:c r="G863" s="19" t="n">
        <x:v>60</x:v>
      </x:c>
      <x:c r="H863" s="19" t="n">
        <x:v>24</x:v>
      </x:c>
      <x:c r="I863" s="17" t="n">
        <x:v>0</x:v>
      </x:c>
      <x:c r="J863" s="19" t="n">
        <x:v>6</x:v>
      </x:c>
      <x:c r="K863" s="19" t="n">
        <x:f>E863*G863</x:f>
        <x:v>120</x:v>
      </x:c>
      <x:c r="L863" s="19" t="n">
        <x:f>K863*I863</x:f>
        <x:v>0</x:v>
      </x:c>
      <x:c r="M863" s="19" t="n">
        <x:f>(E863-F863)*G863*(1-I863)</x:f>
        <x:v>60</x:v>
      </x:c>
      <x:c r="N863" s="19" t="n">
        <x:f>(E863-F863)*H863</x:f>
        <x:v>24</x:v>
      </x:c>
      <x:c r="O863" s="19" t="n">
        <x:f>F863*J863</x:f>
        <x:v>6</x:v>
      </x:c>
      <x:c r="P863" s="19" t="n">
        <x:f>M863-N863-O863</x:f>
        <x:v>30</x:v>
      </x:c>
    </x:row>
    <x:row r="864">
      <x:c r="A864" s="15" t="str">
        <x:v>SIM-0860</x:v>
      </x:c>
      <x:c r="B864" s="15" t="str">
        <x:v>2026-04</x:v>
      </x:c>
      <x:c r="C864" s="15" t="str">
        <x:v>Accesorios</x:v>
      </x:c>
      <x:c r="D864" s="15" t="str">
        <x:v>Online</x:v>
      </x:c>
      <x:c r="E864" s="15" t="n">
        <x:v>1</x:v>
      </x:c>
      <x:c r="F864" s="15" t="n">
        <x:v>0</x:v>
      </x:c>
      <x:c r="G864" s="19" t="n">
        <x:v>30</x:v>
      </x:c>
      <x:c r="H864" s="19" t="n">
        <x:v>9</x:v>
      </x:c>
      <x:c r="I864" s="17" t="n">
        <x:v>0.2</x:v>
      </x:c>
      <x:c r="J864" s="19" t="n">
        <x:v>6</x:v>
      </x:c>
      <x:c r="K864" s="19" t="n">
        <x:f>E864*G864</x:f>
        <x:v>30</x:v>
      </x:c>
      <x:c r="L864" s="19" t="n">
        <x:f>K864*I864</x:f>
        <x:v>6</x:v>
      </x:c>
      <x:c r="M864" s="19" t="n">
        <x:f>(E864-F864)*G864*(1-I864)</x:f>
        <x:v>24</x:v>
      </x:c>
      <x:c r="N864" s="19" t="n">
        <x:f>(E864-F864)*H864</x:f>
        <x:v>9</x:v>
      </x:c>
      <x:c r="O864" s="19" t="n">
        <x:f>F864*J864</x:f>
        <x:v>0</x:v>
      </x:c>
      <x:c r="P864" s="19" t="n">
        <x:f>M864-N864-O864</x:f>
        <x:v>15</x:v>
      </x:c>
    </x:row>
    <x:row r="865">
      <x:c r="A865" s="15" t="str">
        <x:v>SIM-0861</x:v>
      </x:c>
      <x:c r="B865" s="15" t="str">
        <x:v>2026-04</x:v>
      </x:c>
      <x:c r="C865" s="15" t="str">
        <x:v>Prendas</x:v>
      </x:c>
      <x:c r="D865" s="15" t="str">
        <x:v>Tienda</x:v>
      </x:c>
      <x:c r="E865" s="15" t="n">
        <x:v>2</x:v>
      </x:c>
      <x:c r="F865" s="15" t="n">
        <x:v>0</x:v>
      </x:c>
      <x:c r="G865" s="19" t="n">
        <x:v>60</x:v>
      </x:c>
      <x:c r="H865" s="19" t="n">
        <x:v>24</x:v>
      </x:c>
      <x:c r="I865" s="17" t="n">
        <x:v>0.2</x:v>
      </x:c>
      <x:c r="J865" s="19" t="n">
        <x:v>2</x:v>
      </x:c>
      <x:c r="K865" s="19" t="n">
        <x:f>E865*G865</x:f>
        <x:v>120</x:v>
      </x:c>
      <x:c r="L865" s="19" t="n">
        <x:f>K865*I865</x:f>
        <x:v>24</x:v>
      </x:c>
      <x:c r="M865" s="19" t="n">
        <x:f>(E865-F865)*G865*(1-I865)</x:f>
        <x:v>96</x:v>
      </x:c>
      <x:c r="N865" s="19" t="n">
        <x:f>(E865-F865)*H865</x:f>
        <x:v>48</x:v>
      </x:c>
      <x:c r="O865" s="19" t="n">
        <x:f>F865*J865</x:f>
        <x:v>0</x:v>
      </x:c>
      <x:c r="P865" s="19" t="n">
        <x:f>M865-N865-O865</x:f>
        <x:v>48</x:v>
      </x:c>
    </x:row>
    <x:row r="866">
      <x:c r="A866" s="15" t="str">
        <x:v>SIM-0862</x:v>
      </x:c>
      <x:c r="B866" s="15" t="str">
        <x:v>2026-04</x:v>
      </x:c>
      <x:c r="C866" s="15" t="str">
        <x:v>Prendas</x:v>
      </x:c>
      <x:c r="D866" s="15" t="str">
        <x:v>Tienda</x:v>
      </x:c>
      <x:c r="E866" s="15" t="n">
        <x:v>3</x:v>
      </x:c>
      <x:c r="F866" s="15" t="n">
        <x:v>0</x:v>
      </x:c>
      <x:c r="G866" s="19" t="n">
        <x:v>60</x:v>
      </x:c>
      <x:c r="H866" s="19" t="n">
        <x:v>24</x:v>
      </x:c>
      <x:c r="I866" s="17" t="n">
        <x:v>0.3</x:v>
      </x:c>
      <x:c r="J866" s="19" t="n">
        <x:v>2</x:v>
      </x:c>
      <x:c r="K866" s="19" t="n">
        <x:f>E866*G866</x:f>
        <x:v>180</x:v>
      </x:c>
      <x:c r="L866" s="19" t="n">
        <x:f>K866*I866</x:f>
        <x:v>54</x:v>
      </x:c>
      <x:c r="M866" s="19" t="n">
        <x:f>(E866-F866)*G866*(1-I866)</x:f>
        <x:v>125.99999999999999</x:v>
      </x:c>
      <x:c r="N866" s="19" t="n">
        <x:f>(E866-F866)*H866</x:f>
        <x:v>72</x:v>
      </x:c>
      <x:c r="O866" s="19" t="n">
        <x:f>F866*J866</x:f>
        <x:v>0</x:v>
      </x:c>
      <x:c r="P866" s="19" t="n">
        <x:f>M866-N866-O866</x:f>
        <x:v>53.999999999999986</x:v>
      </x:c>
    </x:row>
    <x:row r="867">
      <x:c r="A867" s="15" t="str">
        <x:v>SIM-0863</x:v>
      </x:c>
      <x:c r="B867" s="15" t="str">
        <x:v>2026-04</x:v>
      </x:c>
      <x:c r="C867" s="15" t="str">
        <x:v>Calzado</x:v>
      </x:c>
      <x:c r="D867" s="15" t="str">
        <x:v>Tienda</x:v>
      </x:c>
      <x:c r="E867" s="15" t="n">
        <x:v>1</x:v>
      </x:c>
      <x:c r="F867" s="15" t="n">
        <x:v>0</x:v>
      </x:c>
      <x:c r="G867" s="19" t="n">
        <x:v>90</x:v>
      </x:c>
      <x:c r="H867" s="19" t="n">
        <x:v>42</x:v>
      </x:c>
      <x:c r="I867" s="17" t="n">
        <x:v>0.1</x:v>
      </x:c>
      <x:c r="J867" s="19" t="n">
        <x:v>2</x:v>
      </x:c>
      <x:c r="K867" s="19" t="n">
        <x:f>E867*G867</x:f>
        <x:v>90</x:v>
      </x:c>
      <x:c r="L867" s="19" t="n">
        <x:f>K867*I867</x:f>
        <x:v>9</x:v>
      </x:c>
      <x:c r="M867" s="19" t="n">
        <x:f>(E867-F867)*G867*(1-I867)</x:f>
        <x:v>81</x:v>
      </x:c>
      <x:c r="N867" s="19" t="n">
        <x:f>(E867-F867)*H867</x:f>
        <x:v>42</x:v>
      </x:c>
      <x:c r="O867" s="19" t="n">
        <x:f>F867*J867</x:f>
        <x:v>0</x:v>
      </x:c>
      <x:c r="P867" s="19" t="n">
        <x:f>M867-N867-O867</x:f>
        <x:v>39</x:v>
      </x:c>
    </x:row>
    <x:row r="868">
      <x:c r="A868" s="15" t="str">
        <x:v>SIM-0864</x:v>
      </x:c>
      <x:c r="B868" s="15" t="str">
        <x:v>2026-04</x:v>
      </x:c>
      <x:c r="C868" s="15" t="str">
        <x:v>Prendas</x:v>
      </x:c>
      <x:c r="D868" s="15" t="str">
        <x:v>Tienda</x:v>
      </x:c>
      <x:c r="E868" s="15" t="n">
        <x:v>1</x:v>
      </x:c>
      <x:c r="F868" s="15" t="n">
        <x:v>0</x:v>
      </x:c>
      <x:c r="G868" s="19" t="n">
        <x:v>60</x:v>
      </x:c>
      <x:c r="H868" s="19" t="n">
        <x:v>24</x:v>
      </x:c>
      <x:c r="I868" s="17" t="n">
        <x:v>0.3</x:v>
      </x:c>
      <x:c r="J868" s="19" t="n">
        <x:v>2</x:v>
      </x:c>
      <x:c r="K868" s="19" t="n">
        <x:f>E868*G868</x:f>
        <x:v>60</x:v>
      </x:c>
      <x:c r="L868" s="19" t="n">
        <x:f>K868*I868</x:f>
        <x:v>18</x:v>
      </x:c>
      <x:c r="M868" s="19" t="n">
        <x:f>(E868-F868)*G868*(1-I868)</x:f>
        <x:v>42</x:v>
      </x:c>
      <x:c r="N868" s="19" t="n">
        <x:f>(E868-F868)*H868</x:f>
        <x:v>24</x:v>
      </x:c>
      <x:c r="O868" s="19" t="n">
        <x:f>F868*J868</x:f>
        <x:v>0</x:v>
      </x:c>
      <x:c r="P868" s="19" t="n">
        <x:f>M868-N868-O868</x:f>
        <x:v>18</x:v>
      </x:c>
    </x:row>
    <x:row r="869">
      <x:c r="A869" s="15" t="str">
        <x:v>SIM-0865</x:v>
      </x:c>
      <x:c r="B869" s="15" t="str">
        <x:v>2026-04</x:v>
      </x:c>
      <x:c r="C869" s="15" t="str">
        <x:v>Calzado</x:v>
      </x:c>
      <x:c r="D869" s="15" t="str">
        <x:v>Online</x:v>
      </x:c>
      <x:c r="E869" s="15" t="n">
        <x:v>1</x:v>
      </x:c>
      <x:c r="F869" s="15" t="n">
        <x:v>0</x:v>
      </x:c>
      <x:c r="G869" s="19" t="n">
        <x:v>90</x:v>
      </x:c>
      <x:c r="H869" s="19" t="n">
        <x:v>42</x:v>
      </x:c>
      <x:c r="I869" s="17" t="n">
        <x:v>0.1</x:v>
      </x:c>
      <x:c r="J869" s="19" t="n">
        <x:v>6</x:v>
      </x:c>
      <x:c r="K869" s="19" t="n">
        <x:f>E869*G869</x:f>
        <x:v>90</x:v>
      </x:c>
      <x:c r="L869" s="19" t="n">
        <x:f>K869*I869</x:f>
        <x:v>9</x:v>
      </x:c>
      <x:c r="M869" s="19" t="n">
        <x:f>(E869-F869)*G869*(1-I869)</x:f>
        <x:v>81</x:v>
      </x:c>
      <x:c r="N869" s="19" t="n">
        <x:f>(E869-F869)*H869</x:f>
        <x:v>42</x:v>
      </x:c>
      <x:c r="O869" s="19" t="n">
        <x:f>F869*J869</x:f>
        <x:v>0</x:v>
      </x:c>
      <x:c r="P869" s="19" t="n">
        <x:f>M869-N869-O869</x:f>
        <x:v>39</x:v>
      </x:c>
    </x:row>
    <x:row r="870">
      <x:c r="A870" s="15" t="str">
        <x:v>SIM-0866</x:v>
      </x:c>
      <x:c r="B870" s="15" t="str">
        <x:v>2026-04</x:v>
      </x:c>
      <x:c r="C870" s="15" t="str">
        <x:v>Calzado</x:v>
      </x:c>
      <x:c r="D870" s="15" t="str">
        <x:v>Online</x:v>
      </x:c>
      <x:c r="E870" s="15" t="n">
        <x:v>1</x:v>
      </x:c>
      <x:c r="F870" s="15" t="n">
        <x:v>0</x:v>
      </x:c>
      <x:c r="G870" s="19" t="n">
        <x:v>90</x:v>
      </x:c>
      <x:c r="H870" s="19" t="n">
        <x:v>42</x:v>
      </x:c>
      <x:c r="I870" s="17" t="n">
        <x:v>0</x:v>
      </x:c>
      <x:c r="J870" s="19" t="n">
        <x:v>6</x:v>
      </x:c>
      <x:c r="K870" s="19" t="n">
        <x:f>E870*G870</x:f>
        <x:v>90</x:v>
      </x:c>
      <x:c r="L870" s="19" t="n">
        <x:f>K870*I870</x:f>
        <x:v>0</x:v>
      </x:c>
      <x:c r="M870" s="19" t="n">
        <x:f>(E870-F870)*G870*(1-I870)</x:f>
        <x:v>90</x:v>
      </x:c>
      <x:c r="N870" s="19" t="n">
        <x:f>(E870-F870)*H870</x:f>
        <x:v>42</x:v>
      </x:c>
      <x:c r="O870" s="19" t="n">
        <x:f>F870*J870</x:f>
        <x:v>0</x:v>
      </x:c>
      <x:c r="P870" s="19" t="n">
        <x:f>M870-N870-O870</x:f>
        <x:v>48</x:v>
      </x:c>
    </x:row>
    <x:row r="871">
      <x:c r="A871" s="15" t="str">
        <x:v>SIM-0867</x:v>
      </x:c>
      <x:c r="B871" s="15" t="str">
        <x:v>2026-04</x:v>
      </x:c>
      <x:c r="C871" s="15" t="str">
        <x:v>Accesorios</x:v>
      </x:c>
      <x:c r="D871" s="15" t="str">
        <x:v>Tienda</x:v>
      </x:c>
      <x:c r="E871" s="15" t="n">
        <x:v>1</x:v>
      </x:c>
      <x:c r="F871" s="15" t="n">
        <x:v>0</x:v>
      </x:c>
      <x:c r="G871" s="19" t="n">
        <x:v>30</x:v>
      </x:c>
      <x:c r="H871" s="19" t="n">
        <x:v>9</x:v>
      </x:c>
      <x:c r="I871" s="17" t="n">
        <x:v>0.3</x:v>
      </x:c>
      <x:c r="J871" s="19" t="n">
        <x:v>2</x:v>
      </x:c>
      <x:c r="K871" s="19" t="n">
        <x:f>E871*G871</x:f>
        <x:v>30</x:v>
      </x:c>
      <x:c r="L871" s="19" t="n">
        <x:f>K871*I871</x:f>
        <x:v>9</x:v>
      </x:c>
      <x:c r="M871" s="19" t="n">
        <x:f>(E871-F871)*G871*(1-I871)</x:f>
        <x:v>21</x:v>
      </x:c>
      <x:c r="N871" s="19" t="n">
        <x:f>(E871-F871)*H871</x:f>
        <x:v>9</x:v>
      </x:c>
      <x:c r="O871" s="19" t="n">
        <x:f>F871*J871</x:f>
        <x:v>0</x:v>
      </x:c>
      <x:c r="P871" s="19" t="n">
        <x:f>M871-N871-O871</x:f>
        <x:v>12</x:v>
      </x:c>
    </x:row>
    <x:row r="872">
      <x:c r="A872" s="15" t="str">
        <x:v>SIM-0868</x:v>
      </x:c>
      <x:c r="B872" s="15" t="str">
        <x:v>2026-04</x:v>
      </x:c>
      <x:c r="C872" s="15" t="str">
        <x:v>Accesorios</x:v>
      </x:c>
      <x:c r="D872" s="15" t="str">
        <x:v>Tienda</x:v>
      </x:c>
      <x:c r="E872" s="15" t="n">
        <x:v>2</x:v>
      </x:c>
      <x:c r="F872" s="15" t="n">
        <x:v>1</x:v>
      </x:c>
      <x:c r="G872" s="19" t="n">
        <x:v>30</x:v>
      </x:c>
      <x:c r="H872" s="19" t="n">
        <x:v>9</x:v>
      </x:c>
      <x:c r="I872" s="17" t="n">
        <x:v>0</x:v>
      </x:c>
      <x:c r="J872" s="19" t="n">
        <x:v>2</x:v>
      </x:c>
      <x:c r="K872" s="19" t="n">
        <x:f>E872*G872</x:f>
        <x:v>60</x:v>
      </x:c>
      <x:c r="L872" s="19" t="n">
        <x:f>K872*I872</x:f>
        <x:v>0</x:v>
      </x:c>
      <x:c r="M872" s="19" t="n">
        <x:f>(E872-F872)*G872*(1-I872)</x:f>
        <x:v>30</x:v>
      </x:c>
      <x:c r="N872" s="19" t="n">
        <x:f>(E872-F872)*H872</x:f>
        <x:v>9</x:v>
      </x:c>
      <x:c r="O872" s="19" t="n">
        <x:f>F872*J872</x:f>
        <x:v>2</x:v>
      </x:c>
      <x:c r="P872" s="19" t="n">
        <x:f>M872-N872-O872</x:f>
        <x:v>19</x:v>
      </x:c>
    </x:row>
    <x:row r="873">
      <x:c r="A873" s="15" t="str">
        <x:v>SIM-0869</x:v>
      </x:c>
      <x:c r="B873" s="15" t="str">
        <x:v>2026-04</x:v>
      </x:c>
      <x:c r="C873" s="15" t="str">
        <x:v>Calzado</x:v>
      </x:c>
      <x:c r="D873" s="15" t="str">
        <x:v>Online</x:v>
      </x:c>
      <x:c r="E873" s="15" t="n">
        <x:v>1</x:v>
      </x:c>
      <x:c r="F873" s="15" t="n">
        <x:v>0</x:v>
      </x:c>
      <x:c r="G873" s="19" t="n">
        <x:v>90</x:v>
      </x:c>
      <x:c r="H873" s="19" t="n">
        <x:v>42</x:v>
      </x:c>
      <x:c r="I873" s="17" t="n">
        <x:v>0</x:v>
      </x:c>
      <x:c r="J873" s="19" t="n">
        <x:v>6</x:v>
      </x:c>
      <x:c r="K873" s="19" t="n">
        <x:f>E873*G873</x:f>
        <x:v>90</x:v>
      </x:c>
      <x:c r="L873" s="19" t="n">
        <x:f>K873*I873</x:f>
        <x:v>0</x:v>
      </x:c>
      <x:c r="M873" s="19" t="n">
        <x:f>(E873-F873)*G873*(1-I873)</x:f>
        <x:v>90</x:v>
      </x:c>
      <x:c r="N873" s="19" t="n">
        <x:f>(E873-F873)*H873</x:f>
        <x:v>42</x:v>
      </x:c>
      <x:c r="O873" s="19" t="n">
        <x:f>F873*J873</x:f>
        <x:v>0</x:v>
      </x:c>
      <x:c r="P873" s="19" t="n">
        <x:f>M873-N873-O873</x:f>
        <x:v>48</x:v>
      </x:c>
    </x:row>
    <x:row r="874">
      <x:c r="A874" s="15" t="str">
        <x:v>SIM-0870</x:v>
      </x:c>
      <x:c r="B874" s="15" t="str">
        <x:v>2026-04</x:v>
      </x:c>
      <x:c r="C874" s="15" t="str">
        <x:v>Calzado</x:v>
      </x:c>
      <x:c r="D874" s="15" t="str">
        <x:v>Tienda</x:v>
      </x:c>
      <x:c r="E874" s="15" t="n">
        <x:v>1</x:v>
      </x:c>
      <x:c r="F874" s="15" t="n">
        <x:v>0</x:v>
      </x:c>
      <x:c r="G874" s="19" t="n">
        <x:v>90</x:v>
      </x:c>
      <x:c r="H874" s="19" t="n">
        <x:v>42</x:v>
      </x:c>
      <x:c r="I874" s="17" t="n">
        <x:v>0</x:v>
      </x:c>
      <x:c r="J874" s="19" t="n">
        <x:v>2</x:v>
      </x:c>
      <x:c r="K874" s="19" t="n">
        <x:f>E874*G874</x:f>
        <x:v>90</x:v>
      </x:c>
      <x:c r="L874" s="19" t="n">
        <x:f>K874*I874</x:f>
        <x:v>0</x:v>
      </x:c>
      <x:c r="M874" s="19" t="n">
        <x:f>(E874-F874)*G874*(1-I874)</x:f>
        <x:v>90</x:v>
      </x:c>
      <x:c r="N874" s="19" t="n">
        <x:f>(E874-F874)*H874</x:f>
        <x:v>42</x:v>
      </x:c>
      <x:c r="O874" s="19" t="n">
        <x:f>F874*J874</x:f>
        <x:v>0</x:v>
      </x:c>
      <x:c r="P874" s="19" t="n">
        <x:f>M874-N874-O874</x:f>
        <x:v>48</x:v>
      </x:c>
    </x:row>
    <x:row r="875">
      <x:c r="A875" s="15" t="str">
        <x:v>SIM-0871</x:v>
      </x:c>
      <x:c r="B875" s="15" t="str">
        <x:v>2026-04</x:v>
      </x:c>
      <x:c r="C875" s="15" t="str">
        <x:v>Calzado</x:v>
      </x:c>
      <x:c r="D875" s="15" t="str">
        <x:v>Online</x:v>
      </x:c>
      <x:c r="E875" s="15" t="n">
        <x:v>1</x:v>
      </x:c>
      <x:c r="F875" s="15" t="n">
        <x:v>0</x:v>
      </x:c>
      <x:c r="G875" s="19" t="n">
        <x:v>90</x:v>
      </x:c>
      <x:c r="H875" s="19" t="n">
        <x:v>42</x:v>
      </x:c>
      <x:c r="I875" s="17" t="n">
        <x:v>0.1</x:v>
      </x:c>
      <x:c r="J875" s="19" t="n">
        <x:v>6</x:v>
      </x:c>
      <x:c r="K875" s="19" t="n">
        <x:f>E875*G875</x:f>
        <x:v>90</x:v>
      </x:c>
      <x:c r="L875" s="19" t="n">
        <x:f>K875*I875</x:f>
        <x:v>9</x:v>
      </x:c>
      <x:c r="M875" s="19" t="n">
        <x:f>(E875-F875)*G875*(1-I875)</x:f>
        <x:v>81</x:v>
      </x:c>
      <x:c r="N875" s="19" t="n">
        <x:f>(E875-F875)*H875</x:f>
        <x:v>42</x:v>
      </x:c>
      <x:c r="O875" s="19" t="n">
        <x:f>F875*J875</x:f>
        <x:v>0</x:v>
      </x:c>
      <x:c r="P875" s="19" t="n">
        <x:f>M875-N875-O875</x:f>
        <x:v>39</x:v>
      </x:c>
    </x:row>
    <x:row r="876">
      <x:c r="A876" s="15" t="str">
        <x:v>SIM-0872</x:v>
      </x:c>
      <x:c r="B876" s="15" t="str">
        <x:v>2026-04</x:v>
      </x:c>
      <x:c r="C876" s="15" t="str">
        <x:v>Calzado</x:v>
      </x:c>
      <x:c r="D876" s="15" t="str">
        <x:v>Online</x:v>
      </x:c>
      <x:c r="E876" s="15" t="n">
        <x:v>1</x:v>
      </x:c>
      <x:c r="F876" s="15" t="n">
        <x:v>0</x:v>
      </x:c>
      <x:c r="G876" s="19" t="n">
        <x:v>90</x:v>
      </x:c>
      <x:c r="H876" s="19" t="n">
        <x:v>42</x:v>
      </x:c>
      <x:c r="I876" s="17" t="n">
        <x:v>0</x:v>
      </x:c>
      <x:c r="J876" s="19" t="n">
        <x:v>6</x:v>
      </x:c>
      <x:c r="K876" s="19" t="n">
        <x:f>E876*G876</x:f>
        <x:v>90</x:v>
      </x:c>
      <x:c r="L876" s="19" t="n">
        <x:f>K876*I876</x:f>
        <x:v>0</x:v>
      </x:c>
      <x:c r="M876" s="19" t="n">
        <x:f>(E876-F876)*G876*(1-I876)</x:f>
        <x:v>90</x:v>
      </x:c>
      <x:c r="N876" s="19" t="n">
        <x:f>(E876-F876)*H876</x:f>
        <x:v>42</x:v>
      </x:c>
      <x:c r="O876" s="19" t="n">
        <x:f>F876*J876</x:f>
        <x:v>0</x:v>
      </x:c>
      <x:c r="P876" s="19" t="n">
        <x:f>M876-N876-O876</x:f>
        <x:v>48</x:v>
      </x:c>
    </x:row>
    <x:row r="877">
      <x:c r="A877" s="15" t="str">
        <x:v>SIM-0873</x:v>
      </x:c>
      <x:c r="B877" s="15" t="str">
        <x:v>2026-04</x:v>
      </x:c>
      <x:c r="C877" s="15" t="str">
        <x:v>Calzado</x:v>
      </x:c>
      <x:c r="D877" s="15" t="str">
        <x:v>Online</x:v>
      </x:c>
      <x:c r="E877" s="15" t="n">
        <x:v>1</x:v>
      </x:c>
      <x:c r="F877" s="15" t="n">
        <x:v>0</x:v>
      </x:c>
      <x:c r="G877" s="19" t="n">
        <x:v>90</x:v>
      </x:c>
      <x:c r="H877" s="19" t="n">
        <x:v>42</x:v>
      </x:c>
      <x:c r="I877" s="17" t="n">
        <x:v>0</x:v>
      </x:c>
      <x:c r="J877" s="19" t="n">
        <x:v>6</x:v>
      </x:c>
      <x:c r="K877" s="19" t="n">
        <x:f>E877*G877</x:f>
        <x:v>90</x:v>
      </x:c>
      <x:c r="L877" s="19" t="n">
        <x:f>K877*I877</x:f>
        <x:v>0</x:v>
      </x:c>
      <x:c r="M877" s="19" t="n">
        <x:f>(E877-F877)*G877*(1-I877)</x:f>
        <x:v>90</x:v>
      </x:c>
      <x:c r="N877" s="19" t="n">
        <x:f>(E877-F877)*H877</x:f>
        <x:v>42</x:v>
      </x:c>
      <x:c r="O877" s="19" t="n">
        <x:f>F877*J877</x:f>
        <x:v>0</x:v>
      </x:c>
      <x:c r="P877" s="19" t="n">
        <x:f>M877-N877-O877</x:f>
        <x:v>48</x:v>
      </x:c>
    </x:row>
    <x:row r="878">
      <x:c r="A878" s="15" t="str">
        <x:v>SIM-0874</x:v>
      </x:c>
      <x:c r="B878" s="15" t="str">
        <x:v>2026-04</x:v>
      </x:c>
      <x:c r="C878" s="15" t="str">
        <x:v>Calzado</x:v>
      </x:c>
      <x:c r="D878" s="15" t="str">
        <x:v>Online</x:v>
      </x:c>
      <x:c r="E878" s="15" t="n">
        <x:v>1</x:v>
      </x:c>
      <x:c r="F878" s="15" t="n">
        <x:v>0</x:v>
      </x:c>
      <x:c r="G878" s="19" t="n">
        <x:v>90</x:v>
      </x:c>
      <x:c r="H878" s="19" t="n">
        <x:v>42</x:v>
      </x:c>
      <x:c r="I878" s="17" t="n">
        <x:v>0.1</x:v>
      </x:c>
      <x:c r="J878" s="19" t="n">
        <x:v>6</x:v>
      </x:c>
      <x:c r="K878" s="19" t="n">
        <x:f>E878*G878</x:f>
        <x:v>90</x:v>
      </x:c>
      <x:c r="L878" s="19" t="n">
        <x:f>K878*I878</x:f>
        <x:v>9</x:v>
      </x:c>
      <x:c r="M878" s="19" t="n">
        <x:f>(E878-F878)*G878*(1-I878)</x:f>
        <x:v>81</x:v>
      </x:c>
      <x:c r="N878" s="19" t="n">
        <x:f>(E878-F878)*H878</x:f>
        <x:v>42</x:v>
      </x:c>
      <x:c r="O878" s="19" t="n">
        <x:f>F878*J878</x:f>
        <x:v>0</x:v>
      </x:c>
      <x:c r="P878" s="19" t="n">
        <x:f>M878-N878-O878</x:f>
        <x:v>39</x:v>
      </x:c>
    </x:row>
    <x:row r="879">
      <x:c r="A879" s="15" t="str">
        <x:v>SIM-0875</x:v>
      </x:c>
      <x:c r="B879" s="15" t="str">
        <x:v>2026-04</x:v>
      </x:c>
      <x:c r="C879" s="15" t="str">
        <x:v>Accesorios</x:v>
      </x:c>
      <x:c r="D879" s="15" t="str">
        <x:v>Online</x:v>
      </x:c>
      <x:c r="E879" s="15" t="n">
        <x:v>1</x:v>
      </x:c>
      <x:c r="F879" s="15" t="n">
        <x:v>0</x:v>
      </x:c>
      <x:c r="G879" s="19" t="n">
        <x:v>30</x:v>
      </x:c>
      <x:c r="H879" s="19" t="n">
        <x:v>9</x:v>
      </x:c>
      <x:c r="I879" s="17" t="n">
        <x:v>0</x:v>
      </x:c>
      <x:c r="J879" s="19" t="n">
        <x:v>6</x:v>
      </x:c>
      <x:c r="K879" s="19" t="n">
        <x:f>E879*G879</x:f>
        <x:v>30</x:v>
      </x:c>
      <x:c r="L879" s="19" t="n">
        <x:f>K879*I879</x:f>
        <x:v>0</x:v>
      </x:c>
      <x:c r="M879" s="19" t="n">
        <x:f>(E879-F879)*G879*(1-I879)</x:f>
        <x:v>30</x:v>
      </x:c>
      <x:c r="N879" s="19" t="n">
        <x:f>(E879-F879)*H879</x:f>
        <x:v>9</x:v>
      </x:c>
      <x:c r="O879" s="19" t="n">
        <x:f>F879*J879</x:f>
        <x:v>0</x:v>
      </x:c>
      <x:c r="P879" s="19" t="n">
        <x:f>M879-N879-O879</x:f>
        <x:v>21</x:v>
      </x:c>
    </x:row>
    <x:row r="880">
      <x:c r="A880" s="15" t="str">
        <x:v>SIM-0876</x:v>
      </x:c>
      <x:c r="B880" s="15" t="str">
        <x:v>2026-04</x:v>
      </x:c>
      <x:c r="C880" s="15" t="str">
        <x:v>Calzado</x:v>
      </x:c>
      <x:c r="D880" s="15" t="str">
        <x:v>Online</x:v>
      </x:c>
      <x:c r="E880" s="15" t="n">
        <x:v>2</x:v>
      </x:c>
      <x:c r="F880" s="15" t="n">
        <x:v>1</x:v>
      </x:c>
      <x:c r="G880" s="19" t="n">
        <x:v>90</x:v>
      </x:c>
      <x:c r="H880" s="19" t="n">
        <x:v>42</x:v>
      </x:c>
      <x:c r="I880" s="17" t="n">
        <x:v>0</x:v>
      </x:c>
      <x:c r="J880" s="19" t="n">
        <x:v>6</x:v>
      </x:c>
      <x:c r="K880" s="19" t="n">
        <x:f>E880*G880</x:f>
        <x:v>180</x:v>
      </x:c>
      <x:c r="L880" s="19" t="n">
        <x:f>K880*I880</x:f>
        <x:v>0</x:v>
      </x:c>
      <x:c r="M880" s="19" t="n">
        <x:f>(E880-F880)*G880*(1-I880)</x:f>
        <x:v>90</x:v>
      </x:c>
      <x:c r="N880" s="19" t="n">
        <x:f>(E880-F880)*H880</x:f>
        <x:v>42</x:v>
      </x:c>
      <x:c r="O880" s="19" t="n">
        <x:f>F880*J880</x:f>
        <x:v>6</x:v>
      </x:c>
      <x:c r="P880" s="19" t="n">
        <x:f>M880-N880-O880</x:f>
        <x:v>42</x:v>
      </x:c>
    </x:row>
    <x:row r="881">
      <x:c r="A881" s="15" t="str">
        <x:v>SIM-0877</x:v>
      </x:c>
      <x:c r="B881" s="15" t="str">
        <x:v>2026-04</x:v>
      </x:c>
      <x:c r="C881" s="15" t="str">
        <x:v>Prendas</x:v>
      </x:c>
      <x:c r="D881" s="15" t="str">
        <x:v>Online</x:v>
      </x:c>
      <x:c r="E881" s="15" t="n">
        <x:v>1</x:v>
      </x:c>
      <x:c r="F881" s="15" t="n">
        <x:v>0</x:v>
      </x:c>
      <x:c r="G881" s="19" t="n">
        <x:v>60</x:v>
      </x:c>
      <x:c r="H881" s="19" t="n">
        <x:v>24</x:v>
      </x:c>
      <x:c r="I881" s="17" t="n">
        <x:v>0.3</x:v>
      </x:c>
      <x:c r="J881" s="19" t="n">
        <x:v>6</x:v>
      </x:c>
      <x:c r="K881" s="19" t="n">
        <x:f>E881*G881</x:f>
        <x:v>60</x:v>
      </x:c>
      <x:c r="L881" s="19" t="n">
        <x:f>K881*I881</x:f>
        <x:v>18</x:v>
      </x:c>
      <x:c r="M881" s="19" t="n">
        <x:f>(E881-F881)*G881*(1-I881)</x:f>
        <x:v>42</x:v>
      </x:c>
      <x:c r="N881" s="19" t="n">
        <x:f>(E881-F881)*H881</x:f>
        <x:v>24</x:v>
      </x:c>
      <x:c r="O881" s="19" t="n">
        <x:f>F881*J881</x:f>
        <x:v>0</x:v>
      </x:c>
      <x:c r="P881" s="19" t="n">
        <x:f>M881-N881-O881</x:f>
        <x:v>18</x:v>
      </x:c>
    </x:row>
    <x:row r="882">
      <x:c r="A882" s="15" t="str">
        <x:v>SIM-0878</x:v>
      </x:c>
      <x:c r="B882" s="15" t="str">
        <x:v>2026-04</x:v>
      </x:c>
      <x:c r="C882" s="15" t="str">
        <x:v>Prendas</x:v>
      </x:c>
      <x:c r="D882" s="15" t="str">
        <x:v>Online</x:v>
      </x:c>
      <x:c r="E882" s="15" t="n">
        <x:v>1</x:v>
      </x:c>
      <x:c r="F882" s="15" t="n">
        <x:v>0</x:v>
      </x:c>
      <x:c r="G882" s="19" t="n">
        <x:v>60</x:v>
      </x:c>
      <x:c r="H882" s="19" t="n">
        <x:v>24</x:v>
      </x:c>
      <x:c r="I882" s="17" t="n">
        <x:v>0</x:v>
      </x:c>
      <x:c r="J882" s="19" t="n">
        <x:v>6</x:v>
      </x:c>
      <x:c r="K882" s="19" t="n">
        <x:f>E882*G882</x:f>
        <x:v>60</x:v>
      </x:c>
      <x:c r="L882" s="19" t="n">
        <x:f>K882*I882</x:f>
        <x:v>0</x:v>
      </x:c>
      <x:c r="M882" s="19" t="n">
        <x:f>(E882-F882)*G882*(1-I882)</x:f>
        <x:v>60</x:v>
      </x:c>
      <x:c r="N882" s="19" t="n">
        <x:f>(E882-F882)*H882</x:f>
        <x:v>24</x:v>
      </x:c>
      <x:c r="O882" s="19" t="n">
        <x:f>F882*J882</x:f>
        <x:v>0</x:v>
      </x:c>
      <x:c r="P882" s="19" t="n">
        <x:f>M882-N882-O882</x:f>
        <x:v>36</x:v>
      </x:c>
    </x:row>
    <x:row r="883">
      <x:c r="A883" s="15" t="str">
        <x:v>SIM-0879</x:v>
      </x:c>
      <x:c r="B883" s="15" t="str">
        <x:v>2026-04</x:v>
      </x:c>
      <x:c r="C883" s="15" t="str">
        <x:v>Calzado</x:v>
      </x:c>
      <x:c r="D883" s="15" t="str">
        <x:v>Tienda</x:v>
      </x:c>
      <x:c r="E883" s="15" t="n">
        <x:v>1</x:v>
      </x:c>
      <x:c r="F883" s="15" t="n">
        <x:v>0</x:v>
      </x:c>
      <x:c r="G883" s="19" t="n">
        <x:v>90</x:v>
      </x:c>
      <x:c r="H883" s="19" t="n">
        <x:v>42</x:v>
      </x:c>
      <x:c r="I883" s="17" t="n">
        <x:v>0.2</x:v>
      </x:c>
      <x:c r="J883" s="19" t="n">
        <x:v>2</x:v>
      </x:c>
      <x:c r="K883" s="19" t="n">
        <x:f>E883*G883</x:f>
        <x:v>90</x:v>
      </x:c>
      <x:c r="L883" s="19" t="n">
        <x:f>K883*I883</x:f>
        <x:v>18</x:v>
      </x:c>
      <x:c r="M883" s="19" t="n">
        <x:f>(E883-F883)*G883*(1-I883)</x:f>
        <x:v>72</x:v>
      </x:c>
      <x:c r="N883" s="19" t="n">
        <x:f>(E883-F883)*H883</x:f>
        <x:v>42</x:v>
      </x:c>
      <x:c r="O883" s="19" t="n">
        <x:f>F883*J883</x:f>
        <x:v>0</x:v>
      </x:c>
      <x:c r="P883" s="19" t="n">
        <x:f>M883-N883-O883</x:f>
        <x:v>30</x:v>
      </x:c>
    </x:row>
    <x:row r="884">
      <x:c r="A884" s="15" t="str">
        <x:v>SIM-0880</x:v>
      </x:c>
      <x:c r="B884" s="15" t="str">
        <x:v>2026-04</x:v>
      </x:c>
      <x:c r="C884" s="15" t="str">
        <x:v>Calzado</x:v>
      </x:c>
      <x:c r="D884" s="15" t="str">
        <x:v>Tienda</x:v>
      </x:c>
      <x:c r="E884" s="15" t="n">
        <x:v>1</x:v>
      </x:c>
      <x:c r="F884" s="15" t="n">
        <x:v>0</x:v>
      </x:c>
      <x:c r="G884" s="19" t="n">
        <x:v>90</x:v>
      </x:c>
      <x:c r="H884" s="19" t="n">
        <x:v>42</x:v>
      </x:c>
      <x:c r="I884" s="17" t="n">
        <x:v>0</x:v>
      </x:c>
      <x:c r="J884" s="19" t="n">
        <x:v>2</x:v>
      </x:c>
      <x:c r="K884" s="19" t="n">
        <x:f>E884*G884</x:f>
        <x:v>90</x:v>
      </x:c>
      <x:c r="L884" s="19" t="n">
        <x:f>K884*I884</x:f>
        <x:v>0</x:v>
      </x:c>
      <x:c r="M884" s="19" t="n">
        <x:f>(E884-F884)*G884*(1-I884)</x:f>
        <x:v>90</x:v>
      </x:c>
      <x:c r="N884" s="19" t="n">
        <x:f>(E884-F884)*H884</x:f>
        <x:v>42</x:v>
      </x:c>
      <x:c r="O884" s="19" t="n">
        <x:f>F884*J884</x:f>
        <x:v>0</x:v>
      </x:c>
      <x:c r="P884" s="19" t="n">
        <x:f>M884-N884-O884</x:f>
        <x:v>48</x:v>
      </x:c>
    </x:row>
    <x:row r="885">
      <x:c r="A885" s="15" t="str">
        <x:v>SIM-0881</x:v>
      </x:c>
      <x:c r="B885" s="15" t="str">
        <x:v>2026-04</x:v>
      </x:c>
      <x:c r="C885" s="15" t="str">
        <x:v>Calzado</x:v>
      </x:c>
      <x:c r="D885" s="15" t="str">
        <x:v>Tienda</x:v>
      </x:c>
      <x:c r="E885" s="15" t="n">
        <x:v>1</x:v>
      </x:c>
      <x:c r="F885" s="15" t="n">
        <x:v>1</x:v>
      </x:c>
      <x:c r="G885" s="19" t="n">
        <x:v>90</x:v>
      </x:c>
      <x:c r="H885" s="19" t="n">
        <x:v>42</x:v>
      </x:c>
      <x:c r="I885" s="17" t="n">
        <x:v>0.1</x:v>
      </x:c>
      <x:c r="J885" s="19" t="n">
        <x:v>2</x:v>
      </x:c>
      <x:c r="K885" s="19" t="n">
        <x:f>E885*G885</x:f>
        <x:v>90</x:v>
      </x:c>
      <x:c r="L885" s="19" t="n">
        <x:f>K885*I885</x:f>
        <x:v>9</x:v>
      </x:c>
      <x:c r="M885" s="19" t="n">
        <x:f>(E885-F885)*G885*(1-I885)</x:f>
        <x:v>0</x:v>
      </x:c>
      <x:c r="N885" s="19" t="n">
        <x:f>(E885-F885)*H885</x:f>
        <x:v>0</x:v>
      </x:c>
      <x:c r="O885" s="19" t="n">
        <x:f>F885*J885</x:f>
        <x:v>2</x:v>
      </x:c>
      <x:c r="P885" s="19" t="n">
        <x:f>M885-N885-O885</x:f>
        <x:v>-2</x:v>
      </x:c>
    </x:row>
    <x:row r="886">
      <x:c r="A886" s="15" t="str">
        <x:v>SIM-0882</x:v>
      </x:c>
      <x:c r="B886" s="15" t="str">
        <x:v>2026-04</x:v>
      </x:c>
      <x:c r="C886" s="15" t="str">
        <x:v>Calzado</x:v>
      </x:c>
      <x:c r="D886" s="15" t="str">
        <x:v>Online</x:v>
      </x:c>
      <x:c r="E886" s="15" t="n">
        <x:v>1</x:v>
      </x:c>
      <x:c r="F886" s="15" t="n">
        <x:v>0</x:v>
      </x:c>
      <x:c r="G886" s="19" t="n">
        <x:v>90</x:v>
      </x:c>
      <x:c r="H886" s="19" t="n">
        <x:v>42</x:v>
      </x:c>
      <x:c r="I886" s="17" t="n">
        <x:v>0.2</x:v>
      </x:c>
      <x:c r="J886" s="19" t="n">
        <x:v>6</x:v>
      </x:c>
      <x:c r="K886" s="19" t="n">
        <x:f>E886*G886</x:f>
        <x:v>90</x:v>
      </x:c>
      <x:c r="L886" s="19" t="n">
        <x:f>K886*I886</x:f>
        <x:v>18</x:v>
      </x:c>
      <x:c r="M886" s="19" t="n">
        <x:f>(E886-F886)*G886*(1-I886)</x:f>
        <x:v>72</x:v>
      </x:c>
      <x:c r="N886" s="19" t="n">
        <x:f>(E886-F886)*H886</x:f>
        <x:v>42</x:v>
      </x:c>
      <x:c r="O886" s="19" t="n">
        <x:f>F886*J886</x:f>
        <x:v>0</x:v>
      </x:c>
      <x:c r="P886" s="19" t="n">
        <x:f>M886-N886-O886</x:f>
        <x:v>30</x:v>
      </x:c>
    </x:row>
    <x:row r="887">
      <x:c r="A887" s="15" t="str">
        <x:v>SIM-0883</x:v>
      </x:c>
      <x:c r="B887" s="15" t="str">
        <x:v>2026-04</x:v>
      </x:c>
      <x:c r="C887" s="15" t="str">
        <x:v>Prendas</x:v>
      </x:c>
      <x:c r="D887" s="15" t="str">
        <x:v>Online</x:v>
      </x:c>
      <x:c r="E887" s="15" t="n">
        <x:v>1</x:v>
      </x:c>
      <x:c r="F887" s="15" t="n">
        <x:v>0</x:v>
      </x:c>
      <x:c r="G887" s="19" t="n">
        <x:v>60</x:v>
      </x:c>
      <x:c r="H887" s="19" t="n">
        <x:v>24</x:v>
      </x:c>
      <x:c r="I887" s="17" t="n">
        <x:v>0.1</x:v>
      </x:c>
      <x:c r="J887" s="19" t="n">
        <x:v>6</x:v>
      </x:c>
      <x:c r="K887" s="19" t="n">
        <x:f>E887*G887</x:f>
        <x:v>60</x:v>
      </x:c>
      <x:c r="L887" s="19" t="n">
        <x:f>K887*I887</x:f>
        <x:v>6</x:v>
      </x:c>
      <x:c r="M887" s="19" t="n">
        <x:f>(E887-F887)*G887*(1-I887)</x:f>
        <x:v>54</x:v>
      </x:c>
      <x:c r="N887" s="19" t="n">
        <x:f>(E887-F887)*H887</x:f>
        <x:v>24</x:v>
      </x:c>
      <x:c r="O887" s="19" t="n">
        <x:f>F887*J887</x:f>
        <x:v>0</x:v>
      </x:c>
      <x:c r="P887" s="19" t="n">
        <x:f>M887-N887-O887</x:f>
        <x:v>30</x:v>
      </x:c>
    </x:row>
    <x:row r="888">
      <x:c r="A888" s="15" t="str">
        <x:v>SIM-0884</x:v>
      </x:c>
      <x:c r="B888" s="15" t="str">
        <x:v>2026-04</x:v>
      </x:c>
      <x:c r="C888" s="15" t="str">
        <x:v>Calzado</x:v>
      </x:c>
      <x:c r="D888" s="15" t="str">
        <x:v>Tienda</x:v>
      </x:c>
      <x:c r="E888" s="15" t="n">
        <x:v>1</x:v>
      </x:c>
      <x:c r="F888" s="15" t="n">
        <x:v>0</x:v>
      </x:c>
      <x:c r="G888" s="19" t="n">
        <x:v>90</x:v>
      </x:c>
      <x:c r="H888" s="19" t="n">
        <x:v>42</x:v>
      </x:c>
      <x:c r="I888" s="17" t="n">
        <x:v>0.2</x:v>
      </x:c>
      <x:c r="J888" s="19" t="n">
        <x:v>2</x:v>
      </x:c>
      <x:c r="K888" s="19" t="n">
        <x:f>E888*G888</x:f>
        <x:v>90</x:v>
      </x:c>
      <x:c r="L888" s="19" t="n">
        <x:f>K888*I888</x:f>
        <x:v>18</x:v>
      </x:c>
      <x:c r="M888" s="19" t="n">
        <x:f>(E888-F888)*G888*(1-I888)</x:f>
        <x:v>72</x:v>
      </x:c>
      <x:c r="N888" s="19" t="n">
        <x:f>(E888-F888)*H888</x:f>
        <x:v>42</x:v>
      </x:c>
      <x:c r="O888" s="19" t="n">
        <x:f>F888*J888</x:f>
        <x:v>0</x:v>
      </x:c>
      <x:c r="P888" s="19" t="n">
        <x:f>M888-N888-O888</x:f>
        <x:v>30</x:v>
      </x:c>
    </x:row>
    <x:row r="889">
      <x:c r="A889" s="15" t="str">
        <x:v>SIM-0885</x:v>
      </x:c>
      <x:c r="B889" s="15" t="str">
        <x:v>2026-04</x:v>
      </x:c>
      <x:c r="C889" s="15" t="str">
        <x:v>Prendas</x:v>
      </x:c>
      <x:c r="D889" s="15" t="str">
        <x:v>Tienda</x:v>
      </x:c>
      <x:c r="E889" s="15" t="n">
        <x:v>1</x:v>
      </x:c>
      <x:c r="F889" s="15" t="n">
        <x:v>0</x:v>
      </x:c>
      <x:c r="G889" s="19" t="n">
        <x:v>60</x:v>
      </x:c>
      <x:c r="H889" s="19" t="n">
        <x:v>24</x:v>
      </x:c>
      <x:c r="I889" s="17" t="n">
        <x:v>0.2</x:v>
      </x:c>
      <x:c r="J889" s="19" t="n">
        <x:v>2</x:v>
      </x:c>
      <x:c r="K889" s="19" t="n">
        <x:f>E889*G889</x:f>
        <x:v>60</x:v>
      </x:c>
      <x:c r="L889" s="19" t="n">
        <x:f>K889*I889</x:f>
        <x:v>12</x:v>
      </x:c>
      <x:c r="M889" s="19" t="n">
        <x:f>(E889-F889)*G889*(1-I889)</x:f>
        <x:v>48</x:v>
      </x:c>
      <x:c r="N889" s="19" t="n">
        <x:f>(E889-F889)*H889</x:f>
        <x:v>24</x:v>
      </x:c>
      <x:c r="O889" s="19" t="n">
        <x:f>F889*J889</x:f>
        <x:v>0</x:v>
      </x:c>
      <x:c r="P889" s="19" t="n">
        <x:f>M889-N889-O889</x:f>
        <x:v>24</x:v>
      </x:c>
    </x:row>
    <x:row r="890">
      <x:c r="A890" s="15" t="str">
        <x:v>SIM-0886</x:v>
      </x:c>
      <x:c r="B890" s="15" t="str">
        <x:v>2026-04</x:v>
      </x:c>
      <x:c r="C890" s="15" t="str">
        <x:v>Prendas</x:v>
      </x:c>
      <x:c r="D890" s="15" t="str">
        <x:v>Tienda</x:v>
      </x:c>
      <x:c r="E890" s="15" t="n">
        <x:v>1</x:v>
      </x:c>
      <x:c r="F890" s="15" t="n">
        <x:v>0</x:v>
      </x:c>
      <x:c r="G890" s="19" t="n">
        <x:v>60</x:v>
      </x:c>
      <x:c r="H890" s="19" t="n">
        <x:v>24</x:v>
      </x:c>
      <x:c r="I890" s="17" t="n">
        <x:v>0.1</x:v>
      </x:c>
      <x:c r="J890" s="19" t="n">
        <x:v>2</x:v>
      </x:c>
      <x:c r="K890" s="19" t="n">
        <x:f>E890*G890</x:f>
        <x:v>60</x:v>
      </x:c>
      <x:c r="L890" s="19" t="n">
        <x:f>K890*I890</x:f>
        <x:v>6</x:v>
      </x:c>
      <x:c r="M890" s="19" t="n">
        <x:f>(E890-F890)*G890*(1-I890)</x:f>
        <x:v>54</x:v>
      </x:c>
      <x:c r="N890" s="19" t="n">
        <x:f>(E890-F890)*H890</x:f>
        <x:v>24</x:v>
      </x:c>
      <x:c r="O890" s="19" t="n">
        <x:f>F890*J890</x:f>
        <x:v>0</x:v>
      </x:c>
      <x:c r="P890" s="19" t="n">
        <x:f>M890-N890-O890</x:f>
        <x:v>30</x:v>
      </x:c>
    </x:row>
    <x:row r="891">
      <x:c r="A891" s="15" t="str">
        <x:v>SIM-0887</x:v>
      </x:c>
      <x:c r="B891" s="15" t="str">
        <x:v>2026-04</x:v>
      </x:c>
      <x:c r="C891" s="15" t="str">
        <x:v>Calzado</x:v>
      </x:c>
      <x:c r="D891" s="15" t="str">
        <x:v>Tienda</x:v>
      </x:c>
      <x:c r="E891" s="15" t="n">
        <x:v>1</x:v>
      </x:c>
      <x:c r="F891" s="15" t="n">
        <x:v>0</x:v>
      </x:c>
      <x:c r="G891" s="19" t="n">
        <x:v>90</x:v>
      </x:c>
      <x:c r="H891" s="19" t="n">
        <x:v>42</x:v>
      </x:c>
      <x:c r="I891" s="17" t="n">
        <x:v>0.3</x:v>
      </x:c>
      <x:c r="J891" s="19" t="n">
        <x:v>2</x:v>
      </x:c>
      <x:c r="K891" s="19" t="n">
        <x:f>E891*G891</x:f>
        <x:v>90</x:v>
      </x:c>
      <x:c r="L891" s="19" t="n">
        <x:f>K891*I891</x:f>
        <x:v>27</x:v>
      </x:c>
      <x:c r="M891" s="19" t="n">
        <x:f>(E891-F891)*G891*(1-I891)</x:f>
        <x:v>62.99999999999999</x:v>
      </x:c>
      <x:c r="N891" s="19" t="n">
        <x:f>(E891-F891)*H891</x:f>
        <x:v>42</x:v>
      </x:c>
      <x:c r="O891" s="19" t="n">
        <x:f>F891*J891</x:f>
        <x:v>0</x:v>
      </x:c>
      <x:c r="P891" s="19" t="n">
        <x:f>M891-N891-O891</x:f>
        <x:v>20.999999999999993</x:v>
      </x:c>
    </x:row>
    <x:row r="892">
      <x:c r="A892" s="15" t="str">
        <x:v>SIM-0888</x:v>
      </x:c>
      <x:c r="B892" s="15" t="str">
        <x:v>2026-04</x:v>
      </x:c>
      <x:c r="C892" s="15" t="str">
        <x:v>Prendas</x:v>
      </x:c>
      <x:c r="D892" s="15" t="str">
        <x:v>Online</x:v>
      </x:c>
      <x:c r="E892" s="15" t="n">
        <x:v>1</x:v>
      </x:c>
      <x:c r="F892" s="15" t="n">
        <x:v>0</x:v>
      </x:c>
      <x:c r="G892" s="19" t="n">
        <x:v>60</x:v>
      </x:c>
      <x:c r="H892" s="19" t="n">
        <x:v>24</x:v>
      </x:c>
      <x:c r="I892" s="17" t="n">
        <x:v>0.1</x:v>
      </x:c>
      <x:c r="J892" s="19" t="n">
        <x:v>6</x:v>
      </x:c>
      <x:c r="K892" s="19" t="n">
        <x:f>E892*G892</x:f>
        <x:v>60</x:v>
      </x:c>
      <x:c r="L892" s="19" t="n">
        <x:f>K892*I892</x:f>
        <x:v>6</x:v>
      </x:c>
      <x:c r="M892" s="19" t="n">
        <x:f>(E892-F892)*G892*(1-I892)</x:f>
        <x:v>54</x:v>
      </x:c>
      <x:c r="N892" s="19" t="n">
        <x:f>(E892-F892)*H892</x:f>
        <x:v>24</x:v>
      </x:c>
      <x:c r="O892" s="19" t="n">
        <x:f>F892*J892</x:f>
        <x:v>0</x:v>
      </x:c>
      <x:c r="P892" s="19" t="n">
        <x:f>M892-N892-O892</x:f>
        <x:v>30</x:v>
      </x:c>
    </x:row>
    <x:row r="893">
      <x:c r="A893" s="15" t="str">
        <x:v>SIM-0889</x:v>
      </x:c>
      <x:c r="B893" s="15" t="str">
        <x:v>2026-04</x:v>
      </x:c>
      <x:c r="C893" s="15" t="str">
        <x:v>Prendas</x:v>
      </x:c>
      <x:c r="D893" s="15" t="str">
        <x:v>Online</x:v>
      </x:c>
      <x:c r="E893" s="15" t="n">
        <x:v>1</x:v>
      </x:c>
      <x:c r="F893" s="15" t="n">
        <x:v>0</x:v>
      </x:c>
      <x:c r="G893" s="19" t="n">
        <x:v>60</x:v>
      </x:c>
      <x:c r="H893" s="19" t="n">
        <x:v>24</x:v>
      </x:c>
      <x:c r="I893" s="17" t="n">
        <x:v>0.2</x:v>
      </x:c>
      <x:c r="J893" s="19" t="n">
        <x:v>6</x:v>
      </x:c>
      <x:c r="K893" s="19" t="n">
        <x:f>E893*G893</x:f>
        <x:v>60</x:v>
      </x:c>
      <x:c r="L893" s="19" t="n">
        <x:f>K893*I893</x:f>
        <x:v>12</x:v>
      </x:c>
      <x:c r="M893" s="19" t="n">
        <x:f>(E893-F893)*G893*(1-I893)</x:f>
        <x:v>48</x:v>
      </x:c>
      <x:c r="N893" s="19" t="n">
        <x:f>(E893-F893)*H893</x:f>
        <x:v>24</x:v>
      </x:c>
      <x:c r="O893" s="19" t="n">
        <x:f>F893*J893</x:f>
        <x:v>0</x:v>
      </x:c>
      <x:c r="P893" s="19" t="n">
        <x:f>M893-N893-O893</x:f>
        <x:v>24</x:v>
      </x:c>
    </x:row>
    <x:row r="894">
      <x:c r="A894" s="15" t="str">
        <x:v>SIM-0890</x:v>
      </x:c>
      <x:c r="B894" s="15" t="str">
        <x:v>2026-04</x:v>
      </x:c>
      <x:c r="C894" s="15" t="str">
        <x:v>Prendas</x:v>
      </x:c>
      <x:c r="D894" s="15" t="str">
        <x:v>Tienda</x:v>
      </x:c>
      <x:c r="E894" s="15" t="n">
        <x:v>1</x:v>
      </x:c>
      <x:c r="F894" s="15" t="n">
        <x:v>0</x:v>
      </x:c>
      <x:c r="G894" s="19" t="n">
        <x:v>60</x:v>
      </x:c>
      <x:c r="H894" s="19" t="n">
        <x:v>24</x:v>
      </x:c>
      <x:c r="I894" s="17" t="n">
        <x:v>0.1</x:v>
      </x:c>
      <x:c r="J894" s="19" t="n">
        <x:v>2</x:v>
      </x:c>
      <x:c r="K894" s="19" t="n">
        <x:f>E894*G894</x:f>
        <x:v>60</x:v>
      </x:c>
      <x:c r="L894" s="19" t="n">
        <x:f>K894*I894</x:f>
        <x:v>6</x:v>
      </x:c>
      <x:c r="M894" s="19" t="n">
        <x:f>(E894-F894)*G894*(1-I894)</x:f>
        <x:v>54</x:v>
      </x:c>
      <x:c r="N894" s="19" t="n">
        <x:f>(E894-F894)*H894</x:f>
        <x:v>24</x:v>
      </x:c>
      <x:c r="O894" s="19" t="n">
        <x:f>F894*J894</x:f>
        <x:v>0</x:v>
      </x:c>
      <x:c r="P894" s="19" t="n">
        <x:f>M894-N894-O894</x:f>
        <x:v>30</x:v>
      </x:c>
    </x:row>
    <x:row r="895">
      <x:c r="A895" s="15" t="str">
        <x:v>SIM-0891</x:v>
      </x:c>
      <x:c r="B895" s="15" t="str">
        <x:v>2026-04</x:v>
      </x:c>
      <x:c r="C895" s="15" t="str">
        <x:v>Prendas</x:v>
      </x:c>
      <x:c r="D895" s="15" t="str">
        <x:v>Online</x:v>
      </x:c>
      <x:c r="E895" s="15" t="n">
        <x:v>1</x:v>
      </x:c>
      <x:c r="F895" s="15" t="n">
        <x:v>0</x:v>
      </x:c>
      <x:c r="G895" s="19" t="n">
        <x:v>60</x:v>
      </x:c>
      <x:c r="H895" s="19" t="n">
        <x:v>24</x:v>
      </x:c>
      <x:c r="I895" s="17" t="n">
        <x:v>0.1</x:v>
      </x:c>
      <x:c r="J895" s="19" t="n">
        <x:v>6</x:v>
      </x:c>
      <x:c r="K895" s="19" t="n">
        <x:f>E895*G895</x:f>
        <x:v>60</x:v>
      </x:c>
      <x:c r="L895" s="19" t="n">
        <x:f>K895*I895</x:f>
        <x:v>6</x:v>
      </x:c>
      <x:c r="M895" s="19" t="n">
        <x:f>(E895-F895)*G895*(1-I895)</x:f>
        <x:v>54</x:v>
      </x:c>
      <x:c r="N895" s="19" t="n">
        <x:f>(E895-F895)*H895</x:f>
        <x:v>24</x:v>
      </x:c>
      <x:c r="O895" s="19" t="n">
        <x:f>F895*J895</x:f>
        <x:v>0</x:v>
      </x:c>
      <x:c r="P895" s="19" t="n">
        <x:f>M895-N895-O895</x:f>
        <x:v>30</x:v>
      </x:c>
    </x:row>
    <x:row r="896">
      <x:c r="A896" s="15" t="str">
        <x:v>SIM-0892</x:v>
      </x:c>
      <x:c r="B896" s="15" t="str">
        <x:v>2026-04</x:v>
      </x:c>
      <x:c r="C896" s="15" t="str">
        <x:v>Accesorios</x:v>
      </x:c>
      <x:c r="D896" s="15" t="str">
        <x:v>Online</x:v>
      </x:c>
      <x:c r="E896" s="15" t="n">
        <x:v>1</x:v>
      </x:c>
      <x:c r="F896" s="15" t="n">
        <x:v>0</x:v>
      </x:c>
      <x:c r="G896" s="19" t="n">
        <x:v>30</x:v>
      </x:c>
      <x:c r="H896" s="19" t="n">
        <x:v>9</x:v>
      </x:c>
      <x:c r="I896" s="17" t="n">
        <x:v>0.1</x:v>
      </x:c>
      <x:c r="J896" s="19" t="n">
        <x:v>6</x:v>
      </x:c>
      <x:c r="K896" s="19" t="n">
        <x:f>E896*G896</x:f>
        <x:v>30</x:v>
      </x:c>
      <x:c r="L896" s="19" t="n">
        <x:f>K896*I896</x:f>
        <x:v>3</x:v>
      </x:c>
      <x:c r="M896" s="19" t="n">
        <x:f>(E896-F896)*G896*(1-I896)</x:f>
        <x:v>27</x:v>
      </x:c>
      <x:c r="N896" s="19" t="n">
        <x:f>(E896-F896)*H896</x:f>
        <x:v>9</x:v>
      </x:c>
      <x:c r="O896" s="19" t="n">
        <x:f>F896*J896</x:f>
        <x:v>0</x:v>
      </x:c>
      <x:c r="P896" s="19" t="n">
        <x:f>M896-N896-O896</x:f>
        <x:v>18</x:v>
      </x:c>
    </x:row>
    <x:row r="897">
      <x:c r="A897" s="15" t="str">
        <x:v>SIM-0893</x:v>
      </x:c>
      <x:c r="B897" s="15" t="str">
        <x:v>2026-04</x:v>
      </x:c>
      <x:c r="C897" s="15" t="str">
        <x:v>Prendas</x:v>
      </x:c>
      <x:c r="D897" s="15" t="str">
        <x:v>Online</x:v>
      </x:c>
      <x:c r="E897" s="15" t="n">
        <x:v>1</x:v>
      </x:c>
      <x:c r="F897" s="15" t="n">
        <x:v>0</x:v>
      </x:c>
      <x:c r="G897" s="19" t="n">
        <x:v>60</x:v>
      </x:c>
      <x:c r="H897" s="19" t="n">
        <x:v>24</x:v>
      </x:c>
      <x:c r="I897" s="17" t="n">
        <x:v>0</x:v>
      </x:c>
      <x:c r="J897" s="19" t="n">
        <x:v>6</x:v>
      </x:c>
      <x:c r="K897" s="19" t="n">
        <x:f>E897*G897</x:f>
        <x:v>60</x:v>
      </x:c>
      <x:c r="L897" s="19" t="n">
        <x:f>K897*I897</x:f>
        <x:v>0</x:v>
      </x:c>
      <x:c r="M897" s="19" t="n">
        <x:f>(E897-F897)*G897*(1-I897)</x:f>
        <x:v>60</x:v>
      </x:c>
      <x:c r="N897" s="19" t="n">
        <x:f>(E897-F897)*H897</x:f>
        <x:v>24</x:v>
      </x:c>
      <x:c r="O897" s="19" t="n">
        <x:f>F897*J897</x:f>
        <x:v>0</x:v>
      </x:c>
      <x:c r="P897" s="19" t="n">
        <x:f>M897-N897-O897</x:f>
        <x:v>36</x:v>
      </x:c>
    </x:row>
    <x:row r="898">
      <x:c r="A898" s="15" t="str">
        <x:v>SIM-0894</x:v>
      </x:c>
      <x:c r="B898" s="15" t="str">
        <x:v>2026-04</x:v>
      </x:c>
      <x:c r="C898" s="15" t="str">
        <x:v>Prendas</x:v>
      </x:c>
      <x:c r="D898" s="15" t="str">
        <x:v>Tienda</x:v>
      </x:c>
      <x:c r="E898" s="15" t="n">
        <x:v>1</x:v>
      </x:c>
      <x:c r="F898" s="15" t="n">
        <x:v>0</x:v>
      </x:c>
      <x:c r="G898" s="19" t="n">
        <x:v>60</x:v>
      </x:c>
      <x:c r="H898" s="19" t="n">
        <x:v>24</x:v>
      </x:c>
      <x:c r="I898" s="17" t="n">
        <x:v>0.1</x:v>
      </x:c>
      <x:c r="J898" s="19" t="n">
        <x:v>2</x:v>
      </x:c>
      <x:c r="K898" s="19" t="n">
        <x:f>E898*G898</x:f>
        <x:v>60</x:v>
      </x:c>
      <x:c r="L898" s="19" t="n">
        <x:f>K898*I898</x:f>
        <x:v>6</x:v>
      </x:c>
      <x:c r="M898" s="19" t="n">
        <x:f>(E898-F898)*G898*(1-I898)</x:f>
        <x:v>54</x:v>
      </x:c>
      <x:c r="N898" s="19" t="n">
        <x:f>(E898-F898)*H898</x:f>
        <x:v>24</x:v>
      </x:c>
      <x:c r="O898" s="19" t="n">
        <x:f>F898*J898</x:f>
        <x:v>0</x:v>
      </x:c>
      <x:c r="P898" s="19" t="n">
        <x:f>M898-N898-O898</x:f>
        <x:v>30</x:v>
      </x:c>
    </x:row>
    <x:row r="899">
      <x:c r="A899" s="15" t="str">
        <x:v>SIM-0895</x:v>
      </x:c>
      <x:c r="B899" s="15" t="str">
        <x:v>2026-04</x:v>
      </x:c>
      <x:c r="C899" s="15" t="str">
        <x:v>Prendas</x:v>
      </x:c>
      <x:c r="D899" s="15" t="str">
        <x:v>Online</x:v>
      </x:c>
      <x:c r="E899" s="15" t="n">
        <x:v>3</x:v>
      </x:c>
      <x:c r="F899" s="15" t="n">
        <x:v>0</x:v>
      </x:c>
      <x:c r="G899" s="19" t="n">
        <x:v>60</x:v>
      </x:c>
      <x:c r="H899" s="19" t="n">
        <x:v>24</x:v>
      </x:c>
      <x:c r="I899" s="17" t="n">
        <x:v>0.1</x:v>
      </x:c>
      <x:c r="J899" s="19" t="n">
        <x:v>6</x:v>
      </x:c>
      <x:c r="K899" s="19" t="n">
        <x:f>E899*G899</x:f>
        <x:v>180</x:v>
      </x:c>
      <x:c r="L899" s="19" t="n">
        <x:f>K899*I899</x:f>
        <x:v>18</x:v>
      </x:c>
      <x:c r="M899" s="19" t="n">
        <x:f>(E899-F899)*G899*(1-I899)</x:f>
        <x:v>162</x:v>
      </x:c>
      <x:c r="N899" s="19" t="n">
        <x:f>(E899-F899)*H899</x:f>
        <x:v>72</x:v>
      </x:c>
      <x:c r="O899" s="19" t="n">
        <x:f>F899*J899</x:f>
        <x:v>0</x:v>
      </x:c>
      <x:c r="P899" s="19" t="n">
        <x:f>M899-N899-O899</x:f>
        <x:v>90</x:v>
      </x:c>
    </x:row>
    <x:row r="900">
      <x:c r="A900" s="15" t="str">
        <x:v>SIM-0896</x:v>
      </x:c>
      <x:c r="B900" s="15" t="str">
        <x:v>2026-04</x:v>
      </x:c>
      <x:c r="C900" s="15" t="str">
        <x:v>Prendas</x:v>
      </x:c>
      <x:c r="D900" s="15" t="str">
        <x:v>Online</x:v>
      </x:c>
      <x:c r="E900" s="15" t="n">
        <x:v>1</x:v>
      </x:c>
      <x:c r="F900" s="15" t="n">
        <x:v>0</x:v>
      </x:c>
      <x:c r="G900" s="19" t="n">
        <x:v>60</x:v>
      </x:c>
      <x:c r="H900" s="19" t="n">
        <x:v>24</x:v>
      </x:c>
      <x:c r="I900" s="17" t="n">
        <x:v>0</x:v>
      </x:c>
      <x:c r="J900" s="19" t="n">
        <x:v>6</x:v>
      </x:c>
      <x:c r="K900" s="19" t="n">
        <x:f>E900*G900</x:f>
        <x:v>60</x:v>
      </x:c>
      <x:c r="L900" s="19" t="n">
        <x:f>K900*I900</x:f>
        <x:v>0</x:v>
      </x:c>
      <x:c r="M900" s="19" t="n">
        <x:f>(E900-F900)*G900*(1-I900)</x:f>
        <x:v>60</x:v>
      </x:c>
      <x:c r="N900" s="19" t="n">
        <x:f>(E900-F900)*H900</x:f>
        <x:v>24</x:v>
      </x:c>
      <x:c r="O900" s="19" t="n">
        <x:f>F900*J900</x:f>
        <x:v>0</x:v>
      </x:c>
      <x:c r="P900" s="19" t="n">
        <x:f>M900-N900-O900</x:f>
        <x:v>36</x:v>
      </x:c>
    </x:row>
    <x:row r="901">
      <x:c r="A901" s="15" t="str">
        <x:v>SIM-0897</x:v>
      </x:c>
      <x:c r="B901" s="15" t="str">
        <x:v>2026-04</x:v>
      </x:c>
      <x:c r="C901" s="15" t="str">
        <x:v>Prendas</x:v>
      </x:c>
      <x:c r="D901" s="15" t="str">
        <x:v>Tienda</x:v>
      </x:c>
      <x:c r="E901" s="15" t="n">
        <x:v>1</x:v>
      </x:c>
      <x:c r="F901" s="15" t="n">
        <x:v>0</x:v>
      </x:c>
      <x:c r="G901" s="19" t="n">
        <x:v>60</x:v>
      </x:c>
      <x:c r="H901" s="19" t="n">
        <x:v>24</x:v>
      </x:c>
      <x:c r="I901" s="17" t="n">
        <x:v>0.2</x:v>
      </x:c>
      <x:c r="J901" s="19" t="n">
        <x:v>2</x:v>
      </x:c>
      <x:c r="K901" s="19" t="n">
        <x:f>E901*G901</x:f>
        <x:v>60</x:v>
      </x:c>
      <x:c r="L901" s="19" t="n">
        <x:f>K901*I901</x:f>
        <x:v>12</x:v>
      </x:c>
      <x:c r="M901" s="19" t="n">
        <x:f>(E901-F901)*G901*(1-I901)</x:f>
        <x:v>48</x:v>
      </x:c>
      <x:c r="N901" s="19" t="n">
        <x:f>(E901-F901)*H901</x:f>
        <x:v>24</x:v>
      </x:c>
      <x:c r="O901" s="19" t="n">
        <x:f>F901*J901</x:f>
        <x:v>0</x:v>
      </x:c>
      <x:c r="P901" s="19" t="n">
        <x:f>M901-N901-O901</x:f>
        <x:v>24</x:v>
      </x:c>
    </x:row>
    <x:row r="902">
      <x:c r="A902" s="15" t="str">
        <x:v>SIM-0898</x:v>
      </x:c>
      <x:c r="B902" s="15" t="str">
        <x:v>2026-04</x:v>
      </x:c>
      <x:c r="C902" s="15" t="str">
        <x:v>Prendas</x:v>
      </x:c>
      <x:c r="D902" s="15" t="str">
        <x:v>Online</x:v>
      </x:c>
      <x:c r="E902" s="15" t="n">
        <x:v>1</x:v>
      </x:c>
      <x:c r="F902" s="15" t="n">
        <x:v>0</x:v>
      </x:c>
      <x:c r="G902" s="19" t="n">
        <x:v>60</x:v>
      </x:c>
      <x:c r="H902" s="19" t="n">
        <x:v>24</x:v>
      </x:c>
      <x:c r="I902" s="17" t="n">
        <x:v>0.1</x:v>
      </x:c>
      <x:c r="J902" s="19" t="n">
        <x:v>6</x:v>
      </x:c>
      <x:c r="K902" s="19" t="n">
        <x:f>E902*G902</x:f>
        <x:v>60</x:v>
      </x:c>
      <x:c r="L902" s="19" t="n">
        <x:f>K902*I902</x:f>
        <x:v>6</x:v>
      </x:c>
      <x:c r="M902" s="19" t="n">
        <x:f>(E902-F902)*G902*(1-I902)</x:f>
        <x:v>54</x:v>
      </x:c>
      <x:c r="N902" s="19" t="n">
        <x:f>(E902-F902)*H902</x:f>
        <x:v>24</x:v>
      </x:c>
      <x:c r="O902" s="19" t="n">
        <x:f>F902*J902</x:f>
        <x:v>0</x:v>
      </x:c>
      <x:c r="P902" s="19" t="n">
        <x:f>M902-N902-O902</x:f>
        <x:v>30</x:v>
      </x:c>
    </x:row>
    <x:row r="903">
      <x:c r="A903" s="15" t="str">
        <x:v>SIM-0899</x:v>
      </x:c>
      <x:c r="B903" s="15" t="str">
        <x:v>2026-04</x:v>
      </x:c>
      <x:c r="C903" s="15" t="str">
        <x:v>Prendas</x:v>
      </x:c>
      <x:c r="D903" s="15" t="str">
        <x:v>Tienda</x:v>
      </x:c>
      <x:c r="E903" s="15" t="n">
        <x:v>1</x:v>
      </x:c>
      <x:c r="F903" s="15" t="n">
        <x:v>0</x:v>
      </x:c>
      <x:c r="G903" s="19" t="n">
        <x:v>60</x:v>
      </x:c>
      <x:c r="H903" s="19" t="n">
        <x:v>24</x:v>
      </x:c>
      <x:c r="I903" s="17" t="n">
        <x:v>0.1</x:v>
      </x:c>
      <x:c r="J903" s="19" t="n">
        <x:v>2</x:v>
      </x:c>
      <x:c r="K903" s="19" t="n">
        <x:f>E903*G903</x:f>
        <x:v>60</x:v>
      </x:c>
      <x:c r="L903" s="19" t="n">
        <x:f>K903*I903</x:f>
        <x:v>6</x:v>
      </x:c>
      <x:c r="M903" s="19" t="n">
        <x:f>(E903-F903)*G903*(1-I903)</x:f>
        <x:v>54</x:v>
      </x:c>
      <x:c r="N903" s="19" t="n">
        <x:f>(E903-F903)*H903</x:f>
        <x:v>24</x:v>
      </x:c>
      <x:c r="O903" s="19" t="n">
        <x:f>F903*J903</x:f>
        <x:v>0</x:v>
      </x:c>
      <x:c r="P903" s="19" t="n">
        <x:f>M903-N903-O903</x:f>
        <x:v>30</x:v>
      </x:c>
    </x:row>
    <x:row r="904">
      <x:c r="A904" s="15" t="str">
        <x:v>SIM-0900</x:v>
      </x:c>
      <x:c r="B904" s="15" t="str">
        <x:v>2026-04</x:v>
      </x:c>
      <x:c r="C904" s="15" t="str">
        <x:v>Prendas</x:v>
      </x:c>
      <x:c r="D904" s="15" t="str">
        <x:v>Tienda</x:v>
      </x:c>
      <x:c r="E904" s="15" t="n">
        <x:v>1</x:v>
      </x:c>
      <x:c r="F904" s="15" t="n">
        <x:v>0</x:v>
      </x:c>
      <x:c r="G904" s="19" t="n">
        <x:v>60</x:v>
      </x:c>
      <x:c r="H904" s="19" t="n">
        <x:v>24</x:v>
      </x:c>
      <x:c r="I904" s="17" t="n">
        <x:v>0.3</x:v>
      </x:c>
      <x:c r="J904" s="19" t="n">
        <x:v>2</x:v>
      </x:c>
      <x:c r="K904" s="19" t="n">
        <x:f>E904*G904</x:f>
        <x:v>60</x:v>
      </x:c>
      <x:c r="L904" s="19" t="n">
        <x:f>K904*I904</x:f>
        <x:v>18</x:v>
      </x:c>
      <x:c r="M904" s="19" t="n">
        <x:f>(E904-F904)*G904*(1-I904)</x:f>
        <x:v>42</x:v>
      </x:c>
      <x:c r="N904" s="19" t="n">
        <x:f>(E904-F904)*H904</x:f>
        <x:v>24</x:v>
      </x:c>
      <x:c r="O904" s="19" t="n">
        <x:f>F904*J904</x:f>
        <x:v>0</x:v>
      </x:c>
      <x:c r="P904" s="19" t="n">
        <x:f>M904-N904-O904</x:f>
        <x:v>18</x:v>
      </x:c>
    </x:row>
    <x:row r="905">
      <x:c r="A905" s="15" t="str">
        <x:v>SIM-0901</x:v>
      </x:c>
      <x:c r="B905" s="15" t="str">
        <x:v>2026-04</x:v>
      </x:c>
      <x:c r="C905" s="15" t="str">
        <x:v>Calzado</x:v>
      </x:c>
      <x:c r="D905" s="15" t="str">
        <x:v>Tienda</x:v>
      </x:c>
      <x:c r="E905" s="15" t="n">
        <x:v>2</x:v>
      </x:c>
      <x:c r="F905" s="15" t="n">
        <x:v>0</x:v>
      </x:c>
      <x:c r="G905" s="19" t="n">
        <x:v>90</x:v>
      </x:c>
      <x:c r="H905" s="19" t="n">
        <x:v>42</x:v>
      </x:c>
      <x:c r="I905" s="17" t="n">
        <x:v>0</x:v>
      </x:c>
      <x:c r="J905" s="19" t="n">
        <x:v>2</x:v>
      </x:c>
      <x:c r="K905" s="19" t="n">
        <x:f>E905*G905</x:f>
        <x:v>180</x:v>
      </x:c>
      <x:c r="L905" s="19" t="n">
        <x:f>K905*I905</x:f>
        <x:v>0</x:v>
      </x:c>
      <x:c r="M905" s="19" t="n">
        <x:f>(E905-F905)*G905*(1-I905)</x:f>
        <x:v>180</x:v>
      </x:c>
      <x:c r="N905" s="19" t="n">
        <x:f>(E905-F905)*H905</x:f>
        <x:v>84</x:v>
      </x:c>
      <x:c r="O905" s="19" t="n">
        <x:f>F905*J905</x:f>
        <x:v>0</x:v>
      </x:c>
      <x:c r="P905" s="19" t="n">
        <x:f>M905-N905-O905</x:f>
        <x:v>96</x:v>
      </x:c>
    </x:row>
    <x:row r="906">
      <x:c r="A906" s="15" t="str">
        <x:v>SIM-0902</x:v>
      </x:c>
      <x:c r="B906" s="15" t="str">
        <x:v>2026-04</x:v>
      </x:c>
      <x:c r="C906" s="15" t="str">
        <x:v>Prendas</x:v>
      </x:c>
      <x:c r="D906" s="15" t="str">
        <x:v>Online</x:v>
      </x:c>
      <x:c r="E906" s="15" t="n">
        <x:v>1</x:v>
      </x:c>
      <x:c r="F906" s="15" t="n">
        <x:v>0</x:v>
      </x:c>
      <x:c r="G906" s="19" t="n">
        <x:v>60</x:v>
      </x:c>
      <x:c r="H906" s="19" t="n">
        <x:v>24</x:v>
      </x:c>
      <x:c r="I906" s="17" t="n">
        <x:v>0</x:v>
      </x:c>
      <x:c r="J906" s="19" t="n">
        <x:v>6</x:v>
      </x:c>
      <x:c r="K906" s="19" t="n">
        <x:f>E906*G906</x:f>
        <x:v>60</x:v>
      </x:c>
      <x:c r="L906" s="19" t="n">
        <x:f>K906*I906</x:f>
        <x:v>0</x:v>
      </x:c>
      <x:c r="M906" s="19" t="n">
        <x:f>(E906-F906)*G906*(1-I906)</x:f>
        <x:v>60</x:v>
      </x:c>
      <x:c r="N906" s="19" t="n">
        <x:f>(E906-F906)*H906</x:f>
        <x:v>24</x:v>
      </x:c>
      <x:c r="O906" s="19" t="n">
        <x:f>F906*J906</x:f>
        <x:v>0</x:v>
      </x:c>
      <x:c r="P906" s="19" t="n">
        <x:f>M906-N906-O906</x:f>
        <x:v>36</x:v>
      </x:c>
    </x:row>
    <x:row r="907">
      <x:c r="A907" s="15" t="str">
        <x:v>SIM-0903</x:v>
      </x:c>
      <x:c r="B907" s="15" t="str">
        <x:v>2026-04</x:v>
      </x:c>
      <x:c r="C907" s="15" t="str">
        <x:v>Prendas</x:v>
      </x:c>
      <x:c r="D907" s="15" t="str">
        <x:v>Online</x:v>
      </x:c>
      <x:c r="E907" s="15" t="n">
        <x:v>1</x:v>
      </x:c>
      <x:c r="F907" s="15" t="n">
        <x:v>0</x:v>
      </x:c>
      <x:c r="G907" s="19" t="n">
        <x:v>60</x:v>
      </x:c>
      <x:c r="H907" s="19" t="n">
        <x:v>24</x:v>
      </x:c>
      <x:c r="I907" s="17" t="n">
        <x:v>0</x:v>
      </x:c>
      <x:c r="J907" s="19" t="n">
        <x:v>6</x:v>
      </x:c>
      <x:c r="K907" s="19" t="n">
        <x:f>E907*G907</x:f>
        <x:v>60</x:v>
      </x:c>
      <x:c r="L907" s="19" t="n">
        <x:f>K907*I907</x:f>
        <x:v>0</x:v>
      </x:c>
      <x:c r="M907" s="19" t="n">
        <x:f>(E907-F907)*G907*(1-I907)</x:f>
        <x:v>60</x:v>
      </x:c>
      <x:c r="N907" s="19" t="n">
        <x:f>(E907-F907)*H907</x:f>
        <x:v>24</x:v>
      </x:c>
      <x:c r="O907" s="19" t="n">
        <x:f>F907*J907</x:f>
        <x:v>0</x:v>
      </x:c>
      <x:c r="P907" s="19" t="n">
        <x:f>M907-N907-O907</x:f>
        <x:v>36</x:v>
      </x:c>
    </x:row>
    <x:row r="908">
      <x:c r="A908" s="15" t="str">
        <x:v>SIM-0904</x:v>
      </x:c>
      <x:c r="B908" s="15" t="str">
        <x:v>2026-04</x:v>
      </x:c>
      <x:c r="C908" s="15" t="str">
        <x:v>Calzado</x:v>
      </x:c>
      <x:c r="D908" s="15" t="str">
        <x:v>Tienda</x:v>
      </x:c>
      <x:c r="E908" s="15" t="n">
        <x:v>2</x:v>
      </x:c>
      <x:c r="F908" s="15" t="n">
        <x:v>1</x:v>
      </x:c>
      <x:c r="G908" s="19" t="n">
        <x:v>90</x:v>
      </x:c>
      <x:c r="H908" s="19" t="n">
        <x:v>42</x:v>
      </x:c>
      <x:c r="I908" s="17" t="n">
        <x:v>0.3</x:v>
      </x:c>
      <x:c r="J908" s="19" t="n">
        <x:v>2</x:v>
      </x:c>
      <x:c r="K908" s="19" t="n">
        <x:f>E908*G908</x:f>
        <x:v>180</x:v>
      </x:c>
      <x:c r="L908" s="19" t="n">
        <x:f>K908*I908</x:f>
        <x:v>54</x:v>
      </x:c>
      <x:c r="M908" s="19" t="n">
        <x:f>(E908-F908)*G908*(1-I908)</x:f>
        <x:v>62.99999999999999</x:v>
      </x:c>
      <x:c r="N908" s="19" t="n">
        <x:f>(E908-F908)*H908</x:f>
        <x:v>42</x:v>
      </x:c>
      <x:c r="O908" s="19" t="n">
        <x:f>F908*J908</x:f>
        <x:v>2</x:v>
      </x:c>
      <x:c r="P908" s="19" t="n">
        <x:f>M908-N908-O908</x:f>
        <x:v>18.999999999999993</x:v>
      </x:c>
    </x:row>
    <x:row r="909">
      <x:c r="A909" s="15" t="str">
        <x:v>SIM-0905</x:v>
      </x:c>
      <x:c r="B909" s="15" t="str">
        <x:v>2026-04</x:v>
      </x:c>
      <x:c r="C909" s="15" t="str">
        <x:v>Accesorios</x:v>
      </x:c>
      <x:c r="D909" s="15" t="str">
        <x:v>Tienda</x:v>
      </x:c>
      <x:c r="E909" s="15" t="n">
        <x:v>3</x:v>
      </x:c>
      <x:c r="F909" s="15" t="n">
        <x:v>0</x:v>
      </x:c>
      <x:c r="G909" s="19" t="n">
        <x:v>30</x:v>
      </x:c>
      <x:c r="H909" s="19" t="n">
        <x:v>9</x:v>
      </x:c>
      <x:c r="I909" s="17" t="n">
        <x:v>0.2</x:v>
      </x:c>
      <x:c r="J909" s="19" t="n">
        <x:v>2</x:v>
      </x:c>
      <x:c r="K909" s="19" t="n">
        <x:f>E909*G909</x:f>
        <x:v>90</x:v>
      </x:c>
      <x:c r="L909" s="19" t="n">
        <x:f>K909*I909</x:f>
        <x:v>18</x:v>
      </x:c>
      <x:c r="M909" s="19" t="n">
        <x:f>(E909-F909)*G909*(1-I909)</x:f>
        <x:v>72</x:v>
      </x:c>
      <x:c r="N909" s="19" t="n">
        <x:f>(E909-F909)*H909</x:f>
        <x:v>27</x:v>
      </x:c>
      <x:c r="O909" s="19" t="n">
        <x:f>F909*J909</x:f>
        <x:v>0</x:v>
      </x:c>
      <x:c r="P909" s="19" t="n">
        <x:f>M909-N909-O909</x:f>
        <x:v>45</x:v>
      </x:c>
    </x:row>
    <x:row r="910">
      <x:c r="A910" s="15" t="str">
        <x:v>SIM-0906</x:v>
      </x:c>
      <x:c r="B910" s="15" t="str">
        <x:v>2026-04</x:v>
      </x:c>
      <x:c r="C910" s="15" t="str">
        <x:v>Calzado</x:v>
      </x:c>
      <x:c r="D910" s="15" t="str">
        <x:v>Online</x:v>
      </x:c>
      <x:c r="E910" s="15" t="n">
        <x:v>1</x:v>
      </x:c>
      <x:c r="F910" s="15" t="n">
        <x:v>0</x:v>
      </x:c>
      <x:c r="G910" s="19" t="n">
        <x:v>90</x:v>
      </x:c>
      <x:c r="H910" s="19" t="n">
        <x:v>42</x:v>
      </x:c>
      <x:c r="I910" s="17" t="n">
        <x:v>0.1</x:v>
      </x:c>
      <x:c r="J910" s="19" t="n">
        <x:v>6</x:v>
      </x:c>
      <x:c r="K910" s="19" t="n">
        <x:f>E910*G910</x:f>
        <x:v>90</x:v>
      </x:c>
      <x:c r="L910" s="19" t="n">
        <x:f>K910*I910</x:f>
        <x:v>9</x:v>
      </x:c>
      <x:c r="M910" s="19" t="n">
        <x:f>(E910-F910)*G910*(1-I910)</x:f>
        <x:v>81</x:v>
      </x:c>
      <x:c r="N910" s="19" t="n">
        <x:f>(E910-F910)*H910</x:f>
        <x:v>42</x:v>
      </x:c>
      <x:c r="O910" s="19" t="n">
        <x:f>F910*J910</x:f>
        <x:v>0</x:v>
      </x:c>
      <x:c r="P910" s="19" t="n">
        <x:f>M910-N910-O910</x:f>
        <x:v>39</x:v>
      </x:c>
    </x:row>
    <x:row r="911">
      <x:c r="A911" s="15" t="str">
        <x:v>SIM-0907</x:v>
      </x:c>
      <x:c r="B911" s="15" t="str">
        <x:v>2026-04</x:v>
      </x:c>
      <x:c r="C911" s="15" t="str">
        <x:v>Calzado</x:v>
      </x:c>
      <x:c r="D911" s="15" t="str">
        <x:v>Online</x:v>
      </x:c>
      <x:c r="E911" s="15" t="n">
        <x:v>2</x:v>
      </x:c>
      <x:c r="F911" s="15" t="n">
        <x:v>0</x:v>
      </x:c>
      <x:c r="G911" s="19" t="n">
        <x:v>90</x:v>
      </x:c>
      <x:c r="H911" s="19" t="n">
        <x:v>42</x:v>
      </x:c>
      <x:c r="I911" s="17" t="n">
        <x:v>0.1</x:v>
      </x:c>
      <x:c r="J911" s="19" t="n">
        <x:v>6</x:v>
      </x:c>
      <x:c r="K911" s="19" t="n">
        <x:f>E911*G911</x:f>
        <x:v>180</x:v>
      </x:c>
      <x:c r="L911" s="19" t="n">
        <x:f>K911*I911</x:f>
        <x:v>18</x:v>
      </x:c>
      <x:c r="M911" s="19" t="n">
        <x:f>(E911-F911)*G911*(1-I911)</x:f>
        <x:v>162</x:v>
      </x:c>
      <x:c r="N911" s="19" t="n">
        <x:f>(E911-F911)*H911</x:f>
        <x:v>84</x:v>
      </x:c>
      <x:c r="O911" s="19" t="n">
        <x:f>F911*J911</x:f>
        <x:v>0</x:v>
      </x:c>
      <x:c r="P911" s="19" t="n">
        <x:f>M911-N911-O911</x:f>
        <x:v>78</x:v>
      </x:c>
    </x:row>
    <x:row r="912">
      <x:c r="A912" s="15" t="str">
        <x:v>SIM-0908</x:v>
      </x:c>
      <x:c r="B912" s="15" t="str">
        <x:v>2026-04</x:v>
      </x:c>
      <x:c r="C912" s="15" t="str">
        <x:v>Prendas</x:v>
      </x:c>
      <x:c r="D912" s="15" t="str">
        <x:v>Tienda</x:v>
      </x:c>
      <x:c r="E912" s="15" t="n">
        <x:v>1</x:v>
      </x:c>
      <x:c r="F912" s="15" t="n">
        <x:v>0</x:v>
      </x:c>
      <x:c r="G912" s="19" t="n">
        <x:v>60</x:v>
      </x:c>
      <x:c r="H912" s="19" t="n">
        <x:v>24</x:v>
      </x:c>
      <x:c r="I912" s="17" t="n">
        <x:v>0.1</x:v>
      </x:c>
      <x:c r="J912" s="19" t="n">
        <x:v>2</x:v>
      </x:c>
      <x:c r="K912" s="19" t="n">
        <x:f>E912*G912</x:f>
        <x:v>60</x:v>
      </x:c>
      <x:c r="L912" s="19" t="n">
        <x:f>K912*I912</x:f>
        <x:v>6</x:v>
      </x:c>
      <x:c r="M912" s="19" t="n">
        <x:f>(E912-F912)*G912*(1-I912)</x:f>
        <x:v>54</x:v>
      </x:c>
      <x:c r="N912" s="19" t="n">
        <x:f>(E912-F912)*H912</x:f>
        <x:v>24</x:v>
      </x:c>
      <x:c r="O912" s="19" t="n">
        <x:f>F912*J912</x:f>
        <x:v>0</x:v>
      </x:c>
      <x:c r="P912" s="19" t="n">
        <x:f>M912-N912-O912</x:f>
        <x:v>30</x:v>
      </x:c>
    </x:row>
    <x:row r="913">
      <x:c r="A913" s="15" t="str">
        <x:v>SIM-0909</x:v>
      </x:c>
      <x:c r="B913" s="15" t="str">
        <x:v>2026-04</x:v>
      </x:c>
      <x:c r="C913" s="15" t="str">
        <x:v>Prendas</x:v>
      </x:c>
      <x:c r="D913" s="15" t="str">
        <x:v>Online</x:v>
      </x:c>
      <x:c r="E913" s="15" t="n">
        <x:v>1</x:v>
      </x:c>
      <x:c r="F913" s="15" t="n">
        <x:v>0</x:v>
      </x:c>
      <x:c r="G913" s="19" t="n">
        <x:v>60</x:v>
      </x:c>
      <x:c r="H913" s="19" t="n">
        <x:v>24</x:v>
      </x:c>
      <x:c r="I913" s="17" t="n">
        <x:v>0</x:v>
      </x:c>
      <x:c r="J913" s="19" t="n">
        <x:v>6</x:v>
      </x:c>
      <x:c r="K913" s="19" t="n">
        <x:f>E913*G913</x:f>
        <x:v>60</x:v>
      </x:c>
      <x:c r="L913" s="19" t="n">
        <x:f>K913*I913</x:f>
        <x:v>0</x:v>
      </x:c>
      <x:c r="M913" s="19" t="n">
        <x:f>(E913-F913)*G913*(1-I913)</x:f>
        <x:v>60</x:v>
      </x:c>
      <x:c r="N913" s="19" t="n">
        <x:f>(E913-F913)*H913</x:f>
        <x:v>24</x:v>
      </x:c>
      <x:c r="O913" s="19" t="n">
        <x:f>F913*J913</x:f>
        <x:v>0</x:v>
      </x:c>
      <x:c r="P913" s="19" t="n">
        <x:f>M913-N913-O913</x:f>
        <x:v>36</x:v>
      </x:c>
    </x:row>
    <x:row r="914">
      <x:c r="A914" s="15" t="str">
        <x:v>SIM-0910</x:v>
      </x:c>
      <x:c r="B914" s="15" t="str">
        <x:v>2026-04</x:v>
      </x:c>
      <x:c r="C914" s="15" t="str">
        <x:v>Prendas</x:v>
      </x:c>
      <x:c r="D914" s="15" t="str">
        <x:v>Online</x:v>
      </x:c>
      <x:c r="E914" s="15" t="n">
        <x:v>1</x:v>
      </x:c>
      <x:c r="F914" s="15" t="n">
        <x:v>0</x:v>
      </x:c>
      <x:c r="G914" s="19" t="n">
        <x:v>60</x:v>
      </x:c>
      <x:c r="H914" s="19" t="n">
        <x:v>24</x:v>
      </x:c>
      <x:c r="I914" s="17" t="n">
        <x:v>0.3</x:v>
      </x:c>
      <x:c r="J914" s="19" t="n">
        <x:v>6</x:v>
      </x:c>
      <x:c r="K914" s="19" t="n">
        <x:f>E914*G914</x:f>
        <x:v>60</x:v>
      </x:c>
      <x:c r="L914" s="19" t="n">
        <x:f>K914*I914</x:f>
        <x:v>18</x:v>
      </x:c>
      <x:c r="M914" s="19" t="n">
        <x:f>(E914-F914)*G914*(1-I914)</x:f>
        <x:v>42</x:v>
      </x:c>
      <x:c r="N914" s="19" t="n">
        <x:f>(E914-F914)*H914</x:f>
        <x:v>24</x:v>
      </x:c>
      <x:c r="O914" s="19" t="n">
        <x:f>F914*J914</x:f>
        <x:v>0</x:v>
      </x:c>
      <x:c r="P914" s="19" t="n">
        <x:f>M914-N914-O914</x:f>
        <x:v>18</x:v>
      </x:c>
    </x:row>
    <x:row r="915">
      <x:c r="A915" s="15" t="str">
        <x:v>SIM-0911</x:v>
      </x:c>
      <x:c r="B915" s="15" t="str">
        <x:v>2026-04</x:v>
      </x:c>
      <x:c r="C915" s="15" t="str">
        <x:v>Calzado</x:v>
      </x:c>
      <x:c r="D915" s="15" t="str">
        <x:v>Tienda</x:v>
      </x:c>
      <x:c r="E915" s="15" t="n">
        <x:v>1</x:v>
      </x:c>
      <x:c r="F915" s="15" t="n">
        <x:v>0</x:v>
      </x:c>
      <x:c r="G915" s="19" t="n">
        <x:v>90</x:v>
      </x:c>
      <x:c r="H915" s="19" t="n">
        <x:v>42</x:v>
      </x:c>
      <x:c r="I915" s="17" t="n">
        <x:v>0.3</x:v>
      </x:c>
      <x:c r="J915" s="19" t="n">
        <x:v>2</x:v>
      </x:c>
      <x:c r="K915" s="19" t="n">
        <x:f>E915*G915</x:f>
        <x:v>90</x:v>
      </x:c>
      <x:c r="L915" s="19" t="n">
        <x:f>K915*I915</x:f>
        <x:v>27</x:v>
      </x:c>
      <x:c r="M915" s="19" t="n">
        <x:f>(E915-F915)*G915*(1-I915)</x:f>
        <x:v>62.99999999999999</x:v>
      </x:c>
      <x:c r="N915" s="19" t="n">
        <x:f>(E915-F915)*H915</x:f>
        <x:v>42</x:v>
      </x:c>
      <x:c r="O915" s="19" t="n">
        <x:f>F915*J915</x:f>
        <x:v>0</x:v>
      </x:c>
      <x:c r="P915" s="19" t="n">
        <x:f>M915-N915-O915</x:f>
        <x:v>20.999999999999993</x:v>
      </x:c>
    </x:row>
    <x:row r="916">
      <x:c r="A916" s="15" t="str">
        <x:v>SIM-0912</x:v>
      </x:c>
      <x:c r="B916" s="15" t="str">
        <x:v>2026-04</x:v>
      </x:c>
      <x:c r="C916" s="15" t="str">
        <x:v>Accesorios</x:v>
      </x:c>
      <x:c r="D916" s="15" t="str">
        <x:v>Online</x:v>
      </x:c>
      <x:c r="E916" s="15" t="n">
        <x:v>1</x:v>
      </x:c>
      <x:c r="F916" s="15" t="n">
        <x:v>0</x:v>
      </x:c>
      <x:c r="G916" s="19" t="n">
        <x:v>30</x:v>
      </x:c>
      <x:c r="H916" s="19" t="n">
        <x:v>9</x:v>
      </x:c>
      <x:c r="I916" s="17" t="n">
        <x:v>0</x:v>
      </x:c>
      <x:c r="J916" s="19" t="n">
        <x:v>6</x:v>
      </x:c>
      <x:c r="K916" s="19" t="n">
        <x:f>E916*G916</x:f>
        <x:v>30</x:v>
      </x:c>
      <x:c r="L916" s="19" t="n">
        <x:f>K916*I916</x:f>
        <x:v>0</x:v>
      </x:c>
      <x:c r="M916" s="19" t="n">
        <x:f>(E916-F916)*G916*(1-I916)</x:f>
        <x:v>30</x:v>
      </x:c>
      <x:c r="N916" s="19" t="n">
        <x:f>(E916-F916)*H916</x:f>
        <x:v>9</x:v>
      </x:c>
      <x:c r="O916" s="19" t="n">
        <x:f>F916*J916</x:f>
        <x:v>0</x:v>
      </x:c>
      <x:c r="P916" s="19" t="n">
        <x:f>M916-N916-O916</x:f>
        <x:v>21</x:v>
      </x:c>
    </x:row>
    <x:row r="917">
      <x:c r="A917" s="15" t="str">
        <x:v>SIM-0913</x:v>
      </x:c>
      <x:c r="B917" s="15" t="str">
        <x:v>2026-04</x:v>
      </x:c>
      <x:c r="C917" s="15" t="str">
        <x:v>Calzado</x:v>
      </x:c>
      <x:c r="D917" s="15" t="str">
        <x:v>Online</x:v>
      </x:c>
      <x:c r="E917" s="15" t="n">
        <x:v>1</x:v>
      </x:c>
      <x:c r="F917" s="15" t="n">
        <x:v>0</x:v>
      </x:c>
      <x:c r="G917" s="19" t="n">
        <x:v>90</x:v>
      </x:c>
      <x:c r="H917" s="19" t="n">
        <x:v>42</x:v>
      </x:c>
      <x:c r="I917" s="17" t="n">
        <x:v>0.2</x:v>
      </x:c>
      <x:c r="J917" s="19" t="n">
        <x:v>6</x:v>
      </x:c>
      <x:c r="K917" s="19" t="n">
        <x:f>E917*G917</x:f>
        <x:v>90</x:v>
      </x:c>
      <x:c r="L917" s="19" t="n">
        <x:f>K917*I917</x:f>
        <x:v>18</x:v>
      </x:c>
      <x:c r="M917" s="19" t="n">
        <x:f>(E917-F917)*G917*(1-I917)</x:f>
        <x:v>72</x:v>
      </x:c>
      <x:c r="N917" s="19" t="n">
        <x:f>(E917-F917)*H917</x:f>
        <x:v>42</x:v>
      </x:c>
      <x:c r="O917" s="19" t="n">
        <x:f>F917*J917</x:f>
        <x:v>0</x:v>
      </x:c>
      <x:c r="P917" s="19" t="n">
        <x:f>M917-N917-O917</x:f>
        <x:v>30</x:v>
      </x:c>
    </x:row>
    <x:row r="918">
      <x:c r="A918" s="15" t="str">
        <x:v>SIM-0914</x:v>
      </x:c>
      <x:c r="B918" s="15" t="str">
        <x:v>2026-04</x:v>
      </x:c>
      <x:c r="C918" s="15" t="str">
        <x:v>Accesorios</x:v>
      </x:c>
      <x:c r="D918" s="15" t="str">
        <x:v>Tienda</x:v>
      </x:c>
      <x:c r="E918" s="15" t="n">
        <x:v>1</x:v>
      </x:c>
      <x:c r="F918" s="15" t="n">
        <x:v>0</x:v>
      </x:c>
      <x:c r="G918" s="19" t="n">
        <x:v>30</x:v>
      </x:c>
      <x:c r="H918" s="19" t="n">
        <x:v>9</x:v>
      </x:c>
      <x:c r="I918" s="17" t="n">
        <x:v>0</x:v>
      </x:c>
      <x:c r="J918" s="19" t="n">
        <x:v>2</x:v>
      </x:c>
      <x:c r="K918" s="19" t="n">
        <x:f>E918*G918</x:f>
        <x:v>30</x:v>
      </x:c>
      <x:c r="L918" s="19" t="n">
        <x:f>K918*I918</x:f>
        <x:v>0</x:v>
      </x:c>
      <x:c r="M918" s="19" t="n">
        <x:f>(E918-F918)*G918*(1-I918)</x:f>
        <x:v>30</x:v>
      </x:c>
      <x:c r="N918" s="19" t="n">
        <x:f>(E918-F918)*H918</x:f>
        <x:v>9</x:v>
      </x:c>
      <x:c r="O918" s="19" t="n">
        <x:f>F918*J918</x:f>
        <x:v>0</x:v>
      </x:c>
      <x:c r="P918" s="19" t="n">
        <x:f>M918-N918-O918</x:f>
        <x:v>21</x:v>
      </x:c>
    </x:row>
    <x:row r="919">
      <x:c r="A919" s="15" t="str">
        <x:v>SIM-0915</x:v>
      </x:c>
      <x:c r="B919" s="15" t="str">
        <x:v>2026-04</x:v>
      </x:c>
      <x:c r="C919" s="15" t="str">
        <x:v>Calzado</x:v>
      </x:c>
      <x:c r="D919" s="15" t="str">
        <x:v>Tienda</x:v>
      </x:c>
      <x:c r="E919" s="15" t="n">
        <x:v>1</x:v>
      </x:c>
      <x:c r="F919" s="15" t="n">
        <x:v>0</x:v>
      </x:c>
      <x:c r="G919" s="19" t="n">
        <x:v>90</x:v>
      </x:c>
      <x:c r="H919" s="19" t="n">
        <x:v>42</x:v>
      </x:c>
      <x:c r="I919" s="17" t="n">
        <x:v>0.3</x:v>
      </x:c>
      <x:c r="J919" s="19" t="n">
        <x:v>2</x:v>
      </x:c>
      <x:c r="K919" s="19" t="n">
        <x:f>E919*G919</x:f>
        <x:v>90</x:v>
      </x:c>
      <x:c r="L919" s="19" t="n">
        <x:f>K919*I919</x:f>
        <x:v>27</x:v>
      </x:c>
      <x:c r="M919" s="19" t="n">
        <x:f>(E919-F919)*G919*(1-I919)</x:f>
        <x:v>62.99999999999999</x:v>
      </x:c>
      <x:c r="N919" s="19" t="n">
        <x:f>(E919-F919)*H919</x:f>
        <x:v>42</x:v>
      </x:c>
      <x:c r="O919" s="19" t="n">
        <x:f>F919*J919</x:f>
        <x:v>0</x:v>
      </x:c>
      <x:c r="P919" s="19" t="n">
        <x:f>M919-N919-O919</x:f>
        <x:v>20.999999999999993</x:v>
      </x:c>
    </x:row>
    <x:row r="920">
      <x:c r="A920" s="15" t="str">
        <x:v>SIM-0916</x:v>
      </x:c>
      <x:c r="B920" s="15" t="str">
        <x:v>2026-04</x:v>
      </x:c>
      <x:c r="C920" s="15" t="str">
        <x:v>Accesorios</x:v>
      </x:c>
      <x:c r="D920" s="15" t="str">
        <x:v>Online</x:v>
      </x:c>
      <x:c r="E920" s="15" t="n">
        <x:v>1</x:v>
      </x:c>
      <x:c r="F920" s="15" t="n">
        <x:v>0</x:v>
      </x:c>
      <x:c r="G920" s="19" t="n">
        <x:v>30</x:v>
      </x:c>
      <x:c r="H920" s="19" t="n">
        <x:v>9</x:v>
      </x:c>
      <x:c r="I920" s="17" t="n">
        <x:v>0.3</x:v>
      </x:c>
      <x:c r="J920" s="19" t="n">
        <x:v>6</x:v>
      </x:c>
      <x:c r="K920" s="19" t="n">
        <x:f>E920*G920</x:f>
        <x:v>30</x:v>
      </x:c>
      <x:c r="L920" s="19" t="n">
        <x:f>K920*I920</x:f>
        <x:v>9</x:v>
      </x:c>
      <x:c r="M920" s="19" t="n">
        <x:f>(E920-F920)*G920*(1-I920)</x:f>
        <x:v>21</x:v>
      </x:c>
      <x:c r="N920" s="19" t="n">
        <x:f>(E920-F920)*H920</x:f>
        <x:v>9</x:v>
      </x:c>
      <x:c r="O920" s="19" t="n">
        <x:f>F920*J920</x:f>
        <x:v>0</x:v>
      </x:c>
      <x:c r="P920" s="19" t="n">
        <x:f>M920-N920-O920</x:f>
        <x:v>12</x:v>
      </x:c>
    </x:row>
    <x:row r="921">
      <x:c r="A921" s="15" t="str">
        <x:v>SIM-0917</x:v>
      </x:c>
      <x:c r="B921" s="15" t="str">
        <x:v>2026-04</x:v>
      </x:c>
      <x:c r="C921" s="15" t="str">
        <x:v>Prendas</x:v>
      </x:c>
      <x:c r="D921" s="15" t="str">
        <x:v>Tienda</x:v>
      </x:c>
      <x:c r="E921" s="15" t="n">
        <x:v>1</x:v>
      </x:c>
      <x:c r="F921" s="15" t="n">
        <x:v>0</x:v>
      </x:c>
      <x:c r="G921" s="19" t="n">
        <x:v>60</x:v>
      </x:c>
      <x:c r="H921" s="19" t="n">
        <x:v>24</x:v>
      </x:c>
      <x:c r="I921" s="17" t="n">
        <x:v>0</x:v>
      </x:c>
      <x:c r="J921" s="19" t="n">
        <x:v>2</x:v>
      </x:c>
      <x:c r="K921" s="19" t="n">
        <x:f>E921*G921</x:f>
        <x:v>60</x:v>
      </x:c>
      <x:c r="L921" s="19" t="n">
        <x:f>K921*I921</x:f>
        <x:v>0</x:v>
      </x:c>
      <x:c r="M921" s="19" t="n">
        <x:f>(E921-F921)*G921*(1-I921)</x:f>
        <x:v>60</x:v>
      </x:c>
      <x:c r="N921" s="19" t="n">
        <x:f>(E921-F921)*H921</x:f>
        <x:v>24</x:v>
      </x:c>
      <x:c r="O921" s="19" t="n">
        <x:f>F921*J921</x:f>
        <x:v>0</x:v>
      </x:c>
      <x:c r="P921" s="19" t="n">
        <x:f>M921-N921-O921</x:f>
        <x:v>36</x:v>
      </x:c>
    </x:row>
    <x:row r="922">
      <x:c r="A922" s="15" t="str">
        <x:v>SIM-0918</x:v>
      </x:c>
      <x:c r="B922" s="15" t="str">
        <x:v>2026-04</x:v>
      </x:c>
      <x:c r="C922" s="15" t="str">
        <x:v>Prendas</x:v>
      </x:c>
      <x:c r="D922" s="15" t="str">
        <x:v>Tienda</x:v>
      </x:c>
      <x:c r="E922" s="15" t="n">
        <x:v>3</x:v>
      </x:c>
      <x:c r="F922" s="15" t="n">
        <x:v>0</x:v>
      </x:c>
      <x:c r="G922" s="19" t="n">
        <x:v>60</x:v>
      </x:c>
      <x:c r="H922" s="19" t="n">
        <x:v>24</x:v>
      </x:c>
      <x:c r="I922" s="17" t="n">
        <x:v>0.1</x:v>
      </x:c>
      <x:c r="J922" s="19" t="n">
        <x:v>2</x:v>
      </x:c>
      <x:c r="K922" s="19" t="n">
        <x:f>E922*G922</x:f>
        <x:v>180</x:v>
      </x:c>
      <x:c r="L922" s="19" t="n">
        <x:f>K922*I922</x:f>
        <x:v>18</x:v>
      </x:c>
      <x:c r="M922" s="19" t="n">
        <x:f>(E922-F922)*G922*(1-I922)</x:f>
        <x:v>162</x:v>
      </x:c>
      <x:c r="N922" s="19" t="n">
        <x:f>(E922-F922)*H922</x:f>
        <x:v>72</x:v>
      </x:c>
      <x:c r="O922" s="19" t="n">
        <x:f>F922*J922</x:f>
        <x:v>0</x:v>
      </x:c>
      <x:c r="P922" s="19" t="n">
        <x:f>M922-N922-O922</x:f>
        <x:v>90</x:v>
      </x:c>
    </x:row>
    <x:row r="923">
      <x:c r="A923" s="15" t="str">
        <x:v>SIM-0919</x:v>
      </x:c>
      <x:c r="B923" s="15" t="str">
        <x:v>2026-04</x:v>
      </x:c>
      <x:c r="C923" s="15" t="str">
        <x:v>Calzado</x:v>
      </x:c>
      <x:c r="D923" s="15" t="str">
        <x:v>Tienda</x:v>
      </x:c>
      <x:c r="E923" s="15" t="n">
        <x:v>1</x:v>
      </x:c>
      <x:c r="F923" s="15" t="n">
        <x:v>0</x:v>
      </x:c>
      <x:c r="G923" s="19" t="n">
        <x:v>90</x:v>
      </x:c>
      <x:c r="H923" s="19" t="n">
        <x:v>42</x:v>
      </x:c>
      <x:c r="I923" s="17" t="n">
        <x:v>0</x:v>
      </x:c>
      <x:c r="J923" s="19" t="n">
        <x:v>2</x:v>
      </x:c>
      <x:c r="K923" s="19" t="n">
        <x:f>E923*G923</x:f>
        <x:v>90</x:v>
      </x:c>
      <x:c r="L923" s="19" t="n">
        <x:f>K923*I923</x:f>
        <x:v>0</x:v>
      </x:c>
      <x:c r="M923" s="19" t="n">
        <x:f>(E923-F923)*G923*(1-I923)</x:f>
        <x:v>90</x:v>
      </x:c>
      <x:c r="N923" s="19" t="n">
        <x:f>(E923-F923)*H923</x:f>
        <x:v>42</x:v>
      </x:c>
      <x:c r="O923" s="19" t="n">
        <x:f>F923*J923</x:f>
        <x:v>0</x:v>
      </x:c>
      <x:c r="P923" s="19" t="n">
        <x:f>M923-N923-O923</x:f>
        <x:v>48</x:v>
      </x:c>
    </x:row>
    <x:row r="924">
      <x:c r="A924" s="15" t="str">
        <x:v>SIM-0920</x:v>
      </x:c>
      <x:c r="B924" s="15" t="str">
        <x:v>2026-04</x:v>
      </x:c>
      <x:c r="C924" s="15" t="str">
        <x:v>Prendas</x:v>
      </x:c>
      <x:c r="D924" s="15" t="str">
        <x:v>Tienda</x:v>
      </x:c>
      <x:c r="E924" s="15" t="n">
        <x:v>1</x:v>
      </x:c>
      <x:c r="F924" s="15" t="n">
        <x:v>0</x:v>
      </x:c>
      <x:c r="G924" s="19" t="n">
        <x:v>60</x:v>
      </x:c>
      <x:c r="H924" s="19" t="n">
        <x:v>24</x:v>
      </x:c>
      <x:c r="I924" s="17" t="n">
        <x:v>0</x:v>
      </x:c>
      <x:c r="J924" s="19" t="n">
        <x:v>2</x:v>
      </x:c>
      <x:c r="K924" s="19" t="n">
        <x:f>E924*G924</x:f>
        <x:v>60</x:v>
      </x:c>
      <x:c r="L924" s="19" t="n">
        <x:f>K924*I924</x:f>
        <x:v>0</x:v>
      </x:c>
      <x:c r="M924" s="19" t="n">
        <x:f>(E924-F924)*G924*(1-I924)</x:f>
        <x:v>60</x:v>
      </x:c>
      <x:c r="N924" s="19" t="n">
        <x:f>(E924-F924)*H924</x:f>
        <x:v>24</x:v>
      </x:c>
      <x:c r="O924" s="19" t="n">
        <x:f>F924*J924</x:f>
        <x:v>0</x:v>
      </x:c>
      <x:c r="P924" s="19" t="n">
        <x:f>M924-N924-O924</x:f>
        <x:v>36</x:v>
      </x:c>
    </x:row>
    <x:row r="925">
      <x:c r="A925" s="15" t="str">
        <x:v>SIM-0921</x:v>
      </x:c>
      <x:c r="B925" s="15" t="str">
        <x:v>2026-05</x:v>
      </x:c>
      <x:c r="C925" s="15" t="str">
        <x:v>Prendas</x:v>
      </x:c>
      <x:c r="D925" s="15" t="str">
        <x:v>Tienda</x:v>
      </x:c>
      <x:c r="E925" s="15" t="n">
        <x:v>2</x:v>
      </x:c>
      <x:c r="F925" s="15" t="n">
        <x:v>1</x:v>
      </x:c>
      <x:c r="G925" s="19" t="n">
        <x:v>60</x:v>
      </x:c>
      <x:c r="H925" s="19" t="n">
        <x:v>24</x:v>
      </x:c>
      <x:c r="I925" s="17" t="n">
        <x:v>0.1</x:v>
      </x:c>
      <x:c r="J925" s="19" t="n">
        <x:v>2</x:v>
      </x:c>
      <x:c r="K925" s="19" t="n">
        <x:f>E925*G925</x:f>
        <x:v>120</x:v>
      </x:c>
      <x:c r="L925" s="19" t="n">
        <x:f>K925*I925</x:f>
        <x:v>12</x:v>
      </x:c>
      <x:c r="M925" s="19" t="n">
        <x:f>(E925-F925)*G925*(1-I925)</x:f>
        <x:v>54</x:v>
      </x:c>
      <x:c r="N925" s="19" t="n">
        <x:f>(E925-F925)*H925</x:f>
        <x:v>24</x:v>
      </x:c>
      <x:c r="O925" s="19" t="n">
        <x:f>F925*J925</x:f>
        <x:v>2</x:v>
      </x:c>
      <x:c r="P925" s="19" t="n">
        <x:f>M925-N925-O925</x:f>
        <x:v>28</x:v>
      </x:c>
    </x:row>
    <x:row r="926">
      <x:c r="A926" s="15" t="str">
        <x:v>SIM-0922</x:v>
      </x:c>
      <x:c r="B926" s="15" t="str">
        <x:v>2026-05</x:v>
      </x:c>
      <x:c r="C926" s="15" t="str">
        <x:v>Calzado</x:v>
      </x:c>
      <x:c r="D926" s="15" t="str">
        <x:v>Online</x:v>
      </x:c>
      <x:c r="E926" s="15" t="n">
        <x:v>2</x:v>
      </x:c>
      <x:c r="F926" s="15" t="n">
        <x:v>0</x:v>
      </x:c>
      <x:c r="G926" s="19" t="n">
        <x:v>90</x:v>
      </x:c>
      <x:c r="H926" s="19" t="n">
        <x:v>42</x:v>
      </x:c>
      <x:c r="I926" s="17" t="n">
        <x:v>0</x:v>
      </x:c>
      <x:c r="J926" s="19" t="n">
        <x:v>6</x:v>
      </x:c>
      <x:c r="K926" s="19" t="n">
        <x:f>E926*G926</x:f>
        <x:v>180</x:v>
      </x:c>
      <x:c r="L926" s="19" t="n">
        <x:f>K926*I926</x:f>
        <x:v>0</x:v>
      </x:c>
      <x:c r="M926" s="19" t="n">
        <x:f>(E926-F926)*G926*(1-I926)</x:f>
        <x:v>180</x:v>
      </x:c>
      <x:c r="N926" s="19" t="n">
        <x:f>(E926-F926)*H926</x:f>
        <x:v>84</x:v>
      </x:c>
      <x:c r="O926" s="19" t="n">
        <x:f>F926*J926</x:f>
        <x:v>0</x:v>
      </x:c>
      <x:c r="P926" s="19" t="n">
        <x:f>M926-N926-O926</x:f>
        <x:v>96</x:v>
      </x:c>
    </x:row>
    <x:row r="927">
      <x:c r="A927" s="15" t="str">
        <x:v>SIM-0923</x:v>
      </x:c>
      <x:c r="B927" s="15" t="str">
        <x:v>2026-05</x:v>
      </x:c>
      <x:c r="C927" s="15" t="str">
        <x:v>Prendas</x:v>
      </x:c>
      <x:c r="D927" s="15" t="str">
        <x:v>Online</x:v>
      </x:c>
      <x:c r="E927" s="15" t="n">
        <x:v>1</x:v>
      </x:c>
      <x:c r="F927" s="15" t="n">
        <x:v>0</x:v>
      </x:c>
      <x:c r="G927" s="19" t="n">
        <x:v>60</x:v>
      </x:c>
      <x:c r="H927" s="19" t="n">
        <x:v>24</x:v>
      </x:c>
      <x:c r="I927" s="17" t="n">
        <x:v>0.1</x:v>
      </x:c>
      <x:c r="J927" s="19" t="n">
        <x:v>6</x:v>
      </x:c>
      <x:c r="K927" s="19" t="n">
        <x:f>E927*G927</x:f>
        <x:v>60</x:v>
      </x:c>
      <x:c r="L927" s="19" t="n">
        <x:f>K927*I927</x:f>
        <x:v>6</x:v>
      </x:c>
      <x:c r="M927" s="19" t="n">
        <x:f>(E927-F927)*G927*(1-I927)</x:f>
        <x:v>54</x:v>
      </x:c>
      <x:c r="N927" s="19" t="n">
        <x:f>(E927-F927)*H927</x:f>
        <x:v>24</x:v>
      </x:c>
      <x:c r="O927" s="19" t="n">
        <x:f>F927*J927</x:f>
        <x:v>0</x:v>
      </x:c>
      <x:c r="P927" s="19" t="n">
        <x:f>M927-N927-O927</x:f>
        <x:v>30</x:v>
      </x:c>
    </x:row>
    <x:row r="928">
      <x:c r="A928" s="15" t="str">
        <x:v>SIM-0924</x:v>
      </x:c>
      <x:c r="B928" s="15" t="str">
        <x:v>2026-05</x:v>
      </x:c>
      <x:c r="C928" s="15" t="str">
        <x:v>Accesorios</x:v>
      </x:c>
      <x:c r="D928" s="15" t="str">
        <x:v>Tienda</x:v>
      </x:c>
      <x:c r="E928" s="15" t="n">
        <x:v>1</x:v>
      </x:c>
      <x:c r="F928" s="15" t="n">
        <x:v>0</x:v>
      </x:c>
      <x:c r="G928" s="19" t="n">
        <x:v>30</x:v>
      </x:c>
      <x:c r="H928" s="19" t="n">
        <x:v>9</x:v>
      </x:c>
      <x:c r="I928" s="17" t="n">
        <x:v>0</x:v>
      </x:c>
      <x:c r="J928" s="19" t="n">
        <x:v>2</x:v>
      </x:c>
      <x:c r="K928" s="19" t="n">
        <x:f>E928*G928</x:f>
        <x:v>30</x:v>
      </x:c>
      <x:c r="L928" s="19" t="n">
        <x:f>K928*I928</x:f>
        <x:v>0</x:v>
      </x:c>
      <x:c r="M928" s="19" t="n">
        <x:f>(E928-F928)*G928*(1-I928)</x:f>
        <x:v>30</x:v>
      </x:c>
      <x:c r="N928" s="19" t="n">
        <x:f>(E928-F928)*H928</x:f>
        <x:v>9</x:v>
      </x:c>
      <x:c r="O928" s="19" t="n">
        <x:f>F928*J928</x:f>
        <x:v>0</x:v>
      </x:c>
      <x:c r="P928" s="19" t="n">
        <x:f>M928-N928-O928</x:f>
        <x:v>21</x:v>
      </x:c>
    </x:row>
    <x:row r="929">
      <x:c r="A929" s="15" t="str">
        <x:v>SIM-0925</x:v>
      </x:c>
      <x:c r="B929" s="15" t="str">
        <x:v>2026-05</x:v>
      </x:c>
      <x:c r="C929" s="15" t="str">
        <x:v>Calzado</x:v>
      </x:c>
      <x:c r="D929" s="15" t="str">
        <x:v>Tienda</x:v>
      </x:c>
      <x:c r="E929" s="15" t="n">
        <x:v>1</x:v>
      </x:c>
      <x:c r="F929" s="15" t="n">
        <x:v>0</x:v>
      </x:c>
      <x:c r="G929" s="19" t="n">
        <x:v>90</x:v>
      </x:c>
      <x:c r="H929" s="19" t="n">
        <x:v>42</x:v>
      </x:c>
      <x:c r="I929" s="17" t="n">
        <x:v>0</x:v>
      </x:c>
      <x:c r="J929" s="19" t="n">
        <x:v>2</x:v>
      </x:c>
      <x:c r="K929" s="19" t="n">
        <x:f>E929*G929</x:f>
        <x:v>90</x:v>
      </x:c>
      <x:c r="L929" s="19" t="n">
        <x:f>K929*I929</x:f>
        <x:v>0</x:v>
      </x:c>
      <x:c r="M929" s="19" t="n">
        <x:f>(E929-F929)*G929*(1-I929)</x:f>
        <x:v>90</x:v>
      </x:c>
      <x:c r="N929" s="19" t="n">
        <x:f>(E929-F929)*H929</x:f>
        <x:v>42</x:v>
      </x:c>
      <x:c r="O929" s="19" t="n">
        <x:f>F929*J929</x:f>
        <x:v>0</x:v>
      </x:c>
      <x:c r="P929" s="19" t="n">
        <x:f>M929-N929-O929</x:f>
        <x:v>48</x:v>
      </x:c>
    </x:row>
    <x:row r="930">
      <x:c r="A930" s="15" t="str">
        <x:v>SIM-0926</x:v>
      </x:c>
      <x:c r="B930" s="15" t="str">
        <x:v>2026-05</x:v>
      </x:c>
      <x:c r="C930" s="15" t="str">
        <x:v>Prendas</x:v>
      </x:c>
      <x:c r="D930" s="15" t="str">
        <x:v>Online</x:v>
      </x:c>
      <x:c r="E930" s="15" t="n">
        <x:v>1</x:v>
      </x:c>
      <x:c r="F930" s="15" t="n">
        <x:v>0</x:v>
      </x:c>
      <x:c r="G930" s="19" t="n">
        <x:v>60</x:v>
      </x:c>
      <x:c r="H930" s="19" t="n">
        <x:v>24</x:v>
      </x:c>
      <x:c r="I930" s="17" t="n">
        <x:v>0</x:v>
      </x:c>
      <x:c r="J930" s="19" t="n">
        <x:v>6</x:v>
      </x:c>
      <x:c r="K930" s="19" t="n">
        <x:f>E930*G930</x:f>
        <x:v>60</x:v>
      </x:c>
      <x:c r="L930" s="19" t="n">
        <x:f>K930*I930</x:f>
        <x:v>0</x:v>
      </x:c>
      <x:c r="M930" s="19" t="n">
        <x:f>(E930-F930)*G930*(1-I930)</x:f>
        <x:v>60</x:v>
      </x:c>
      <x:c r="N930" s="19" t="n">
        <x:f>(E930-F930)*H930</x:f>
        <x:v>24</x:v>
      </x:c>
      <x:c r="O930" s="19" t="n">
        <x:f>F930*J930</x:f>
        <x:v>0</x:v>
      </x:c>
      <x:c r="P930" s="19" t="n">
        <x:f>M930-N930-O930</x:f>
        <x:v>36</x:v>
      </x:c>
    </x:row>
    <x:row r="931">
      <x:c r="A931" s="15" t="str">
        <x:v>SIM-0927</x:v>
      </x:c>
      <x:c r="B931" s="15" t="str">
        <x:v>2026-05</x:v>
      </x:c>
      <x:c r="C931" s="15" t="str">
        <x:v>Prendas</x:v>
      </x:c>
      <x:c r="D931" s="15" t="str">
        <x:v>Tienda</x:v>
      </x:c>
      <x:c r="E931" s="15" t="n">
        <x:v>1</x:v>
      </x:c>
      <x:c r="F931" s="15" t="n">
        <x:v>0</x:v>
      </x:c>
      <x:c r="G931" s="19" t="n">
        <x:v>60</x:v>
      </x:c>
      <x:c r="H931" s="19" t="n">
        <x:v>24</x:v>
      </x:c>
      <x:c r="I931" s="17" t="n">
        <x:v>0</x:v>
      </x:c>
      <x:c r="J931" s="19" t="n">
        <x:v>2</x:v>
      </x:c>
      <x:c r="K931" s="19" t="n">
        <x:f>E931*G931</x:f>
        <x:v>60</x:v>
      </x:c>
      <x:c r="L931" s="19" t="n">
        <x:f>K931*I931</x:f>
        <x:v>0</x:v>
      </x:c>
      <x:c r="M931" s="19" t="n">
        <x:f>(E931-F931)*G931*(1-I931)</x:f>
        <x:v>60</x:v>
      </x:c>
      <x:c r="N931" s="19" t="n">
        <x:f>(E931-F931)*H931</x:f>
        <x:v>24</x:v>
      </x:c>
      <x:c r="O931" s="19" t="n">
        <x:f>F931*J931</x:f>
        <x:v>0</x:v>
      </x:c>
      <x:c r="P931" s="19" t="n">
        <x:f>M931-N931-O931</x:f>
        <x:v>36</x:v>
      </x:c>
    </x:row>
    <x:row r="932">
      <x:c r="A932" s="15" t="str">
        <x:v>SIM-0928</x:v>
      </x:c>
      <x:c r="B932" s="15" t="str">
        <x:v>2026-05</x:v>
      </x:c>
      <x:c r="C932" s="15" t="str">
        <x:v>Accesorios</x:v>
      </x:c>
      <x:c r="D932" s="15" t="str">
        <x:v>Online</x:v>
      </x:c>
      <x:c r="E932" s="15" t="n">
        <x:v>1</x:v>
      </x:c>
      <x:c r="F932" s="15" t="n">
        <x:v>0</x:v>
      </x:c>
      <x:c r="G932" s="19" t="n">
        <x:v>30</x:v>
      </x:c>
      <x:c r="H932" s="19" t="n">
        <x:v>9</x:v>
      </x:c>
      <x:c r="I932" s="17" t="n">
        <x:v>0.3</x:v>
      </x:c>
      <x:c r="J932" s="19" t="n">
        <x:v>6</x:v>
      </x:c>
      <x:c r="K932" s="19" t="n">
        <x:f>E932*G932</x:f>
        <x:v>30</x:v>
      </x:c>
      <x:c r="L932" s="19" t="n">
        <x:f>K932*I932</x:f>
        <x:v>9</x:v>
      </x:c>
      <x:c r="M932" s="19" t="n">
        <x:f>(E932-F932)*G932*(1-I932)</x:f>
        <x:v>21</x:v>
      </x:c>
      <x:c r="N932" s="19" t="n">
        <x:f>(E932-F932)*H932</x:f>
        <x:v>9</x:v>
      </x:c>
      <x:c r="O932" s="19" t="n">
        <x:f>F932*J932</x:f>
        <x:v>0</x:v>
      </x:c>
      <x:c r="P932" s="19" t="n">
        <x:f>M932-N932-O932</x:f>
        <x:v>12</x:v>
      </x:c>
    </x:row>
    <x:row r="933">
      <x:c r="A933" s="15" t="str">
        <x:v>SIM-0929</x:v>
      </x:c>
      <x:c r="B933" s="15" t="str">
        <x:v>2026-05</x:v>
      </x:c>
      <x:c r="C933" s="15" t="str">
        <x:v>Prendas</x:v>
      </x:c>
      <x:c r="D933" s="15" t="str">
        <x:v>Online</x:v>
      </x:c>
      <x:c r="E933" s="15" t="n">
        <x:v>1</x:v>
      </x:c>
      <x:c r="F933" s="15" t="n">
        <x:v>0</x:v>
      </x:c>
      <x:c r="G933" s="19" t="n">
        <x:v>60</x:v>
      </x:c>
      <x:c r="H933" s="19" t="n">
        <x:v>24</x:v>
      </x:c>
      <x:c r="I933" s="17" t="n">
        <x:v>0</x:v>
      </x:c>
      <x:c r="J933" s="19" t="n">
        <x:v>6</x:v>
      </x:c>
      <x:c r="K933" s="19" t="n">
        <x:f>E933*G933</x:f>
        <x:v>60</x:v>
      </x:c>
      <x:c r="L933" s="19" t="n">
        <x:f>K933*I933</x:f>
        <x:v>0</x:v>
      </x:c>
      <x:c r="M933" s="19" t="n">
        <x:f>(E933-F933)*G933*(1-I933)</x:f>
        <x:v>60</x:v>
      </x:c>
      <x:c r="N933" s="19" t="n">
        <x:f>(E933-F933)*H933</x:f>
        <x:v>24</x:v>
      </x:c>
      <x:c r="O933" s="19" t="n">
        <x:f>F933*J933</x:f>
        <x:v>0</x:v>
      </x:c>
      <x:c r="P933" s="19" t="n">
        <x:f>M933-N933-O933</x:f>
        <x:v>36</x:v>
      </x:c>
    </x:row>
    <x:row r="934">
      <x:c r="A934" s="15" t="str">
        <x:v>SIM-0930</x:v>
      </x:c>
      <x:c r="B934" s="15" t="str">
        <x:v>2026-05</x:v>
      </x:c>
      <x:c r="C934" s="15" t="str">
        <x:v>Accesorios</x:v>
      </x:c>
      <x:c r="D934" s="15" t="str">
        <x:v>Online</x:v>
      </x:c>
      <x:c r="E934" s="15" t="n">
        <x:v>1</x:v>
      </x:c>
      <x:c r="F934" s="15" t="n">
        <x:v>0</x:v>
      </x:c>
      <x:c r="G934" s="19" t="n">
        <x:v>30</x:v>
      </x:c>
      <x:c r="H934" s="19" t="n">
        <x:v>9</x:v>
      </x:c>
      <x:c r="I934" s="17" t="n">
        <x:v>0</x:v>
      </x:c>
      <x:c r="J934" s="19" t="n">
        <x:v>6</x:v>
      </x:c>
      <x:c r="K934" s="19" t="n">
        <x:f>E934*G934</x:f>
        <x:v>30</x:v>
      </x:c>
      <x:c r="L934" s="19" t="n">
        <x:f>K934*I934</x:f>
        <x:v>0</x:v>
      </x:c>
      <x:c r="M934" s="19" t="n">
        <x:f>(E934-F934)*G934*(1-I934)</x:f>
        <x:v>30</x:v>
      </x:c>
      <x:c r="N934" s="19" t="n">
        <x:f>(E934-F934)*H934</x:f>
        <x:v>9</x:v>
      </x:c>
      <x:c r="O934" s="19" t="n">
        <x:f>F934*J934</x:f>
        <x:v>0</x:v>
      </x:c>
      <x:c r="P934" s="19" t="n">
        <x:f>M934-N934-O934</x:f>
        <x:v>21</x:v>
      </x:c>
    </x:row>
    <x:row r="935">
      <x:c r="A935" s="15" t="str">
        <x:v>SIM-0931</x:v>
      </x:c>
      <x:c r="B935" s="15" t="str">
        <x:v>2026-05</x:v>
      </x:c>
      <x:c r="C935" s="15" t="str">
        <x:v>Calzado</x:v>
      </x:c>
      <x:c r="D935" s="15" t="str">
        <x:v>Online</x:v>
      </x:c>
      <x:c r="E935" s="15" t="n">
        <x:v>1</x:v>
      </x:c>
      <x:c r="F935" s="15" t="n">
        <x:v>1</x:v>
      </x:c>
      <x:c r="G935" s="19" t="n">
        <x:v>90</x:v>
      </x:c>
      <x:c r="H935" s="19" t="n">
        <x:v>42</x:v>
      </x:c>
      <x:c r="I935" s="17" t="n">
        <x:v>0.1</x:v>
      </x:c>
      <x:c r="J935" s="19" t="n">
        <x:v>6</x:v>
      </x:c>
      <x:c r="K935" s="19" t="n">
        <x:f>E935*G935</x:f>
        <x:v>90</x:v>
      </x:c>
      <x:c r="L935" s="19" t="n">
        <x:f>K935*I935</x:f>
        <x:v>9</x:v>
      </x:c>
      <x:c r="M935" s="19" t="n">
        <x:f>(E935-F935)*G935*(1-I935)</x:f>
        <x:v>0</x:v>
      </x:c>
      <x:c r="N935" s="19" t="n">
        <x:f>(E935-F935)*H935</x:f>
        <x:v>0</x:v>
      </x:c>
      <x:c r="O935" s="19" t="n">
        <x:f>F935*J935</x:f>
        <x:v>6</x:v>
      </x:c>
      <x:c r="P935" s="19" t="n">
        <x:f>M935-N935-O935</x:f>
        <x:v>-6</x:v>
      </x:c>
    </x:row>
    <x:row r="936">
      <x:c r="A936" s="15" t="str">
        <x:v>SIM-0932</x:v>
      </x:c>
      <x:c r="B936" s="15" t="str">
        <x:v>2026-05</x:v>
      </x:c>
      <x:c r="C936" s="15" t="str">
        <x:v>Prendas</x:v>
      </x:c>
      <x:c r="D936" s="15" t="str">
        <x:v>Tienda</x:v>
      </x:c>
      <x:c r="E936" s="15" t="n">
        <x:v>1</x:v>
      </x:c>
      <x:c r="F936" s="15" t="n">
        <x:v>0</x:v>
      </x:c>
      <x:c r="G936" s="19" t="n">
        <x:v>60</x:v>
      </x:c>
      <x:c r="H936" s="19" t="n">
        <x:v>24</x:v>
      </x:c>
      <x:c r="I936" s="17" t="n">
        <x:v>0.3</x:v>
      </x:c>
      <x:c r="J936" s="19" t="n">
        <x:v>2</x:v>
      </x:c>
      <x:c r="K936" s="19" t="n">
        <x:f>E936*G936</x:f>
        <x:v>60</x:v>
      </x:c>
      <x:c r="L936" s="19" t="n">
        <x:f>K936*I936</x:f>
        <x:v>18</x:v>
      </x:c>
      <x:c r="M936" s="19" t="n">
        <x:f>(E936-F936)*G936*(1-I936)</x:f>
        <x:v>42</x:v>
      </x:c>
      <x:c r="N936" s="19" t="n">
        <x:f>(E936-F936)*H936</x:f>
        <x:v>24</x:v>
      </x:c>
      <x:c r="O936" s="19" t="n">
        <x:f>F936*J936</x:f>
        <x:v>0</x:v>
      </x:c>
      <x:c r="P936" s="19" t="n">
        <x:f>M936-N936-O936</x:f>
        <x:v>18</x:v>
      </x:c>
    </x:row>
    <x:row r="937">
      <x:c r="A937" s="15" t="str">
        <x:v>SIM-0933</x:v>
      </x:c>
      <x:c r="B937" s="15" t="str">
        <x:v>2026-05</x:v>
      </x:c>
      <x:c r="C937" s="15" t="str">
        <x:v>Calzado</x:v>
      </x:c>
      <x:c r="D937" s="15" t="str">
        <x:v>Online</x:v>
      </x:c>
      <x:c r="E937" s="15" t="n">
        <x:v>1</x:v>
      </x:c>
      <x:c r="F937" s="15" t="n">
        <x:v>0</x:v>
      </x:c>
      <x:c r="G937" s="19" t="n">
        <x:v>90</x:v>
      </x:c>
      <x:c r="H937" s="19" t="n">
        <x:v>42</x:v>
      </x:c>
      <x:c r="I937" s="17" t="n">
        <x:v>0.1</x:v>
      </x:c>
      <x:c r="J937" s="19" t="n">
        <x:v>6</x:v>
      </x:c>
      <x:c r="K937" s="19" t="n">
        <x:f>E937*G937</x:f>
        <x:v>90</x:v>
      </x:c>
      <x:c r="L937" s="19" t="n">
        <x:f>K937*I937</x:f>
        <x:v>9</x:v>
      </x:c>
      <x:c r="M937" s="19" t="n">
        <x:f>(E937-F937)*G937*(1-I937)</x:f>
        <x:v>81</x:v>
      </x:c>
      <x:c r="N937" s="19" t="n">
        <x:f>(E937-F937)*H937</x:f>
        <x:v>42</x:v>
      </x:c>
      <x:c r="O937" s="19" t="n">
        <x:f>F937*J937</x:f>
        <x:v>0</x:v>
      </x:c>
      <x:c r="P937" s="19" t="n">
        <x:f>M937-N937-O937</x:f>
        <x:v>39</x:v>
      </x:c>
    </x:row>
    <x:row r="938">
      <x:c r="A938" s="15" t="str">
        <x:v>SIM-0934</x:v>
      </x:c>
      <x:c r="B938" s="15" t="str">
        <x:v>2026-05</x:v>
      </x:c>
      <x:c r="C938" s="15" t="str">
        <x:v>Prendas</x:v>
      </x:c>
      <x:c r="D938" s="15" t="str">
        <x:v>Online</x:v>
      </x:c>
      <x:c r="E938" s="15" t="n">
        <x:v>1</x:v>
      </x:c>
      <x:c r="F938" s="15" t="n">
        <x:v>0</x:v>
      </x:c>
      <x:c r="G938" s="19" t="n">
        <x:v>60</x:v>
      </x:c>
      <x:c r="H938" s="19" t="n">
        <x:v>24</x:v>
      </x:c>
      <x:c r="I938" s="17" t="n">
        <x:v>0.1</x:v>
      </x:c>
      <x:c r="J938" s="19" t="n">
        <x:v>6</x:v>
      </x:c>
      <x:c r="K938" s="19" t="n">
        <x:f>E938*G938</x:f>
        <x:v>60</x:v>
      </x:c>
      <x:c r="L938" s="19" t="n">
        <x:f>K938*I938</x:f>
        <x:v>6</x:v>
      </x:c>
      <x:c r="M938" s="19" t="n">
        <x:f>(E938-F938)*G938*(1-I938)</x:f>
        <x:v>54</x:v>
      </x:c>
      <x:c r="N938" s="19" t="n">
        <x:f>(E938-F938)*H938</x:f>
        <x:v>24</x:v>
      </x:c>
      <x:c r="O938" s="19" t="n">
        <x:f>F938*J938</x:f>
        <x:v>0</x:v>
      </x:c>
      <x:c r="P938" s="19" t="n">
        <x:f>M938-N938-O938</x:f>
        <x:v>30</x:v>
      </x:c>
    </x:row>
    <x:row r="939">
      <x:c r="A939" s="15" t="str">
        <x:v>SIM-0935</x:v>
      </x:c>
      <x:c r="B939" s="15" t="str">
        <x:v>2026-05</x:v>
      </x:c>
      <x:c r="C939" s="15" t="str">
        <x:v>Calzado</x:v>
      </x:c>
      <x:c r="D939" s="15" t="str">
        <x:v>Tienda</x:v>
      </x:c>
      <x:c r="E939" s="15" t="n">
        <x:v>1</x:v>
      </x:c>
      <x:c r="F939" s="15" t="n">
        <x:v>0</x:v>
      </x:c>
      <x:c r="G939" s="19" t="n">
        <x:v>90</x:v>
      </x:c>
      <x:c r="H939" s="19" t="n">
        <x:v>42</x:v>
      </x:c>
      <x:c r="I939" s="17" t="n">
        <x:v>0.2</x:v>
      </x:c>
      <x:c r="J939" s="19" t="n">
        <x:v>2</x:v>
      </x:c>
      <x:c r="K939" s="19" t="n">
        <x:f>E939*G939</x:f>
        <x:v>90</x:v>
      </x:c>
      <x:c r="L939" s="19" t="n">
        <x:f>K939*I939</x:f>
        <x:v>18</x:v>
      </x:c>
      <x:c r="M939" s="19" t="n">
        <x:f>(E939-F939)*G939*(1-I939)</x:f>
        <x:v>72</x:v>
      </x:c>
      <x:c r="N939" s="19" t="n">
        <x:f>(E939-F939)*H939</x:f>
        <x:v>42</x:v>
      </x:c>
      <x:c r="O939" s="19" t="n">
        <x:f>F939*J939</x:f>
        <x:v>0</x:v>
      </x:c>
      <x:c r="P939" s="19" t="n">
        <x:f>M939-N939-O939</x:f>
        <x:v>30</x:v>
      </x:c>
    </x:row>
    <x:row r="940">
      <x:c r="A940" s="15" t="str">
        <x:v>SIM-0936</x:v>
      </x:c>
      <x:c r="B940" s="15" t="str">
        <x:v>2026-05</x:v>
      </x:c>
      <x:c r="C940" s="15" t="str">
        <x:v>Calzado</x:v>
      </x:c>
      <x:c r="D940" s="15" t="str">
        <x:v>Online</x:v>
      </x:c>
      <x:c r="E940" s="15" t="n">
        <x:v>2</x:v>
      </x:c>
      <x:c r="F940" s="15" t="n">
        <x:v>1</x:v>
      </x:c>
      <x:c r="G940" s="19" t="n">
        <x:v>90</x:v>
      </x:c>
      <x:c r="H940" s="19" t="n">
        <x:v>42</x:v>
      </x:c>
      <x:c r="I940" s="17" t="n">
        <x:v>0.1</x:v>
      </x:c>
      <x:c r="J940" s="19" t="n">
        <x:v>6</x:v>
      </x:c>
      <x:c r="K940" s="19" t="n">
        <x:f>E940*G940</x:f>
        <x:v>180</x:v>
      </x:c>
      <x:c r="L940" s="19" t="n">
        <x:f>K940*I940</x:f>
        <x:v>18</x:v>
      </x:c>
      <x:c r="M940" s="19" t="n">
        <x:f>(E940-F940)*G940*(1-I940)</x:f>
        <x:v>81</x:v>
      </x:c>
      <x:c r="N940" s="19" t="n">
        <x:f>(E940-F940)*H940</x:f>
        <x:v>42</x:v>
      </x:c>
      <x:c r="O940" s="19" t="n">
        <x:f>F940*J940</x:f>
        <x:v>6</x:v>
      </x:c>
      <x:c r="P940" s="19" t="n">
        <x:f>M940-N940-O940</x:f>
        <x:v>33</x:v>
      </x:c>
    </x:row>
    <x:row r="941">
      <x:c r="A941" s="15" t="str">
        <x:v>SIM-0937</x:v>
      </x:c>
      <x:c r="B941" s="15" t="str">
        <x:v>2026-05</x:v>
      </x:c>
      <x:c r="C941" s="15" t="str">
        <x:v>Accesorios</x:v>
      </x:c>
      <x:c r="D941" s="15" t="str">
        <x:v>Online</x:v>
      </x:c>
      <x:c r="E941" s="15" t="n">
        <x:v>1</x:v>
      </x:c>
      <x:c r="F941" s="15" t="n">
        <x:v>0</x:v>
      </x:c>
      <x:c r="G941" s="19" t="n">
        <x:v>30</x:v>
      </x:c>
      <x:c r="H941" s="19" t="n">
        <x:v>9</x:v>
      </x:c>
      <x:c r="I941" s="17" t="n">
        <x:v>0</x:v>
      </x:c>
      <x:c r="J941" s="19" t="n">
        <x:v>6</x:v>
      </x:c>
      <x:c r="K941" s="19" t="n">
        <x:f>E941*G941</x:f>
        <x:v>30</x:v>
      </x:c>
      <x:c r="L941" s="19" t="n">
        <x:f>K941*I941</x:f>
        <x:v>0</x:v>
      </x:c>
      <x:c r="M941" s="19" t="n">
        <x:f>(E941-F941)*G941*(1-I941)</x:f>
        <x:v>30</x:v>
      </x:c>
      <x:c r="N941" s="19" t="n">
        <x:f>(E941-F941)*H941</x:f>
        <x:v>9</x:v>
      </x:c>
      <x:c r="O941" s="19" t="n">
        <x:f>F941*J941</x:f>
        <x:v>0</x:v>
      </x:c>
      <x:c r="P941" s="19" t="n">
        <x:f>M941-N941-O941</x:f>
        <x:v>21</x:v>
      </x:c>
    </x:row>
    <x:row r="942">
      <x:c r="A942" s="15" t="str">
        <x:v>SIM-0938</x:v>
      </x:c>
      <x:c r="B942" s="15" t="str">
        <x:v>2026-05</x:v>
      </x:c>
      <x:c r="C942" s="15" t="str">
        <x:v>Calzado</x:v>
      </x:c>
      <x:c r="D942" s="15" t="str">
        <x:v>Online</x:v>
      </x:c>
      <x:c r="E942" s="15" t="n">
        <x:v>1</x:v>
      </x:c>
      <x:c r="F942" s="15" t="n">
        <x:v>0</x:v>
      </x:c>
      <x:c r="G942" s="19" t="n">
        <x:v>90</x:v>
      </x:c>
      <x:c r="H942" s="19" t="n">
        <x:v>42</x:v>
      </x:c>
      <x:c r="I942" s="17" t="n">
        <x:v>0</x:v>
      </x:c>
      <x:c r="J942" s="19" t="n">
        <x:v>6</x:v>
      </x:c>
      <x:c r="K942" s="19" t="n">
        <x:f>E942*G942</x:f>
        <x:v>90</x:v>
      </x:c>
      <x:c r="L942" s="19" t="n">
        <x:f>K942*I942</x:f>
        <x:v>0</x:v>
      </x:c>
      <x:c r="M942" s="19" t="n">
        <x:f>(E942-F942)*G942*(1-I942)</x:f>
        <x:v>90</x:v>
      </x:c>
      <x:c r="N942" s="19" t="n">
        <x:f>(E942-F942)*H942</x:f>
        <x:v>42</x:v>
      </x:c>
      <x:c r="O942" s="19" t="n">
        <x:f>F942*J942</x:f>
        <x:v>0</x:v>
      </x:c>
      <x:c r="P942" s="19" t="n">
        <x:f>M942-N942-O942</x:f>
        <x:v>48</x:v>
      </x:c>
    </x:row>
    <x:row r="943">
      <x:c r="A943" s="15" t="str">
        <x:v>SIM-0939</x:v>
      </x:c>
      <x:c r="B943" s="15" t="str">
        <x:v>2026-05</x:v>
      </x:c>
      <x:c r="C943" s="15" t="str">
        <x:v>Accesorios</x:v>
      </x:c>
      <x:c r="D943" s="15" t="str">
        <x:v>Tienda</x:v>
      </x:c>
      <x:c r="E943" s="15" t="n">
        <x:v>1</x:v>
      </x:c>
      <x:c r="F943" s="15" t="n">
        <x:v>0</x:v>
      </x:c>
      <x:c r="G943" s="19" t="n">
        <x:v>30</x:v>
      </x:c>
      <x:c r="H943" s="19" t="n">
        <x:v>9</x:v>
      </x:c>
      <x:c r="I943" s="17" t="n">
        <x:v>0.1</x:v>
      </x:c>
      <x:c r="J943" s="19" t="n">
        <x:v>2</x:v>
      </x:c>
      <x:c r="K943" s="19" t="n">
        <x:f>E943*G943</x:f>
        <x:v>30</x:v>
      </x:c>
      <x:c r="L943" s="19" t="n">
        <x:f>K943*I943</x:f>
        <x:v>3</x:v>
      </x:c>
      <x:c r="M943" s="19" t="n">
        <x:f>(E943-F943)*G943*(1-I943)</x:f>
        <x:v>27</x:v>
      </x:c>
      <x:c r="N943" s="19" t="n">
        <x:f>(E943-F943)*H943</x:f>
        <x:v>9</x:v>
      </x:c>
      <x:c r="O943" s="19" t="n">
        <x:f>F943*J943</x:f>
        <x:v>0</x:v>
      </x:c>
      <x:c r="P943" s="19" t="n">
        <x:f>M943-N943-O943</x:f>
        <x:v>18</x:v>
      </x:c>
    </x:row>
    <x:row r="944">
      <x:c r="A944" s="15" t="str">
        <x:v>SIM-0940</x:v>
      </x:c>
      <x:c r="B944" s="15" t="str">
        <x:v>2026-05</x:v>
      </x:c>
      <x:c r="C944" s="15" t="str">
        <x:v>Prendas</x:v>
      </x:c>
      <x:c r="D944" s="15" t="str">
        <x:v>Tienda</x:v>
      </x:c>
      <x:c r="E944" s="15" t="n">
        <x:v>1</x:v>
      </x:c>
      <x:c r="F944" s="15" t="n">
        <x:v>0</x:v>
      </x:c>
      <x:c r="G944" s="19" t="n">
        <x:v>60</x:v>
      </x:c>
      <x:c r="H944" s="19" t="n">
        <x:v>24</x:v>
      </x:c>
      <x:c r="I944" s="17" t="n">
        <x:v>0</x:v>
      </x:c>
      <x:c r="J944" s="19" t="n">
        <x:v>2</x:v>
      </x:c>
      <x:c r="K944" s="19" t="n">
        <x:f>E944*G944</x:f>
        <x:v>60</x:v>
      </x:c>
      <x:c r="L944" s="19" t="n">
        <x:f>K944*I944</x:f>
        <x:v>0</x:v>
      </x:c>
      <x:c r="M944" s="19" t="n">
        <x:f>(E944-F944)*G944*(1-I944)</x:f>
        <x:v>60</x:v>
      </x:c>
      <x:c r="N944" s="19" t="n">
        <x:f>(E944-F944)*H944</x:f>
        <x:v>24</x:v>
      </x:c>
      <x:c r="O944" s="19" t="n">
        <x:f>F944*J944</x:f>
        <x:v>0</x:v>
      </x:c>
      <x:c r="P944" s="19" t="n">
        <x:f>M944-N944-O944</x:f>
        <x:v>36</x:v>
      </x:c>
    </x:row>
    <x:row r="945">
      <x:c r="A945" s="15" t="str">
        <x:v>SIM-0941</x:v>
      </x:c>
      <x:c r="B945" s="15" t="str">
        <x:v>2026-05</x:v>
      </x:c>
      <x:c r="C945" s="15" t="str">
        <x:v>Calzado</x:v>
      </x:c>
      <x:c r="D945" s="15" t="str">
        <x:v>Tienda</x:v>
      </x:c>
      <x:c r="E945" s="15" t="n">
        <x:v>1</x:v>
      </x:c>
      <x:c r="F945" s="15" t="n">
        <x:v>0</x:v>
      </x:c>
      <x:c r="G945" s="19" t="n">
        <x:v>90</x:v>
      </x:c>
      <x:c r="H945" s="19" t="n">
        <x:v>42</x:v>
      </x:c>
      <x:c r="I945" s="17" t="n">
        <x:v>0</x:v>
      </x:c>
      <x:c r="J945" s="19" t="n">
        <x:v>2</x:v>
      </x:c>
      <x:c r="K945" s="19" t="n">
        <x:f>E945*G945</x:f>
        <x:v>90</x:v>
      </x:c>
      <x:c r="L945" s="19" t="n">
        <x:f>K945*I945</x:f>
        <x:v>0</x:v>
      </x:c>
      <x:c r="M945" s="19" t="n">
        <x:f>(E945-F945)*G945*(1-I945)</x:f>
        <x:v>90</x:v>
      </x:c>
      <x:c r="N945" s="19" t="n">
        <x:f>(E945-F945)*H945</x:f>
        <x:v>42</x:v>
      </x:c>
      <x:c r="O945" s="19" t="n">
        <x:f>F945*J945</x:f>
        <x:v>0</x:v>
      </x:c>
      <x:c r="P945" s="19" t="n">
        <x:f>M945-N945-O945</x:f>
        <x:v>48</x:v>
      </x:c>
    </x:row>
    <x:row r="946">
      <x:c r="A946" s="15" t="str">
        <x:v>SIM-0942</x:v>
      </x:c>
      <x:c r="B946" s="15" t="str">
        <x:v>2026-05</x:v>
      </x:c>
      <x:c r="C946" s="15" t="str">
        <x:v>Prendas</x:v>
      </x:c>
      <x:c r="D946" s="15" t="str">
        <x:v>Tienda</x:v>
      </x:c>
      <x:c r="E946" s="15" t="n">
        <x:v>1</x:v>
      </x:c>
      <x:c r="F946" s="15" t="n">
        <x:v>0</x:v>
      </x:c>
      <x:c r="G946" s="19" t="n">
        <x:v>60</x:v>
      </x:c>
      <x:c r="H946" s="19" t="n">
        <x:v>24</x:v>
      </x:c>
      <x:c r="I946" s="17" t="n">
        <x:v>0</x:v>
      </x:c>
      <x:c r="J946" s="19" t="n">
        <x:v>2</x:v>
      </x:c>
      <x:c r="K946" s="19" t="n">
        <x:f>E946*G946</x:f>
        <x:v>60</x:v>
      </x:c>
      <x:c r="L946" s="19" t="n">
        <x:f>K946*I946</x:f>
        <x:v>0</x:v>
      </x:c>
      <x:c r="M946" s="19" t="n">
        <x:f>(E946-F946)*G946*(1-I946)</x:f>
        <x:v>60</x:v>
      </x:c>
      <x:c r="N946" s="19" t="n">
        <x:f>(E946-F946)*H946</x:f>
        <x:v>24</x:v>
      </x:c>
      <x:c r="O946" s="19" t="n">
        <x:f>F946*J946</x:f>
        <x:v>0</x:v>
      </x:c>
      <x:c r="P946" s="19" t="n">
        <x:f>M946-N946-O946</x:f>
        <x:v>36</x:v>
      </x:c>
    </x:row>
    <x:row r="947">
      <x:c r="A947" s="15" t="str">
        <x:v>SIM-0943</x:v>
      </x:c>
      <x:c r="B947" s="15" t="str">
        <x:v>2026-05</x:v>
      </x:c>
      <x:c r="C947" s="15" t="str">
        <x:v>Prendas</x:v>
      </x:c>
      <x:c r="D947" s="15" t="str">
        <x:v>Online</x:v>
      </x:c>
      <x:c r="E947" s="15" t="n">
        <x:v>2</x:v>
      </x:c>
      <x:c r="F947" s="15" t="n">
        <x:v>1</x:v>
      </x:c>
      <x:c r="G947" s="19" t="n">
        <x:v>60</x:v>
      </x:c>
      <x:c r="H947" s="19" t="n">
        <x:v>24</x:v>
      </x:c>
      <x:c r="I947" s="17" t="n">
        <x:v>0.3</x:v>
      </x:c>
      <x:c r="J947" s="19" t="n">
        <x:v>6</x:v>
      </x:c>
      <x:c r="K947" s="19" t="n">
        <x:f>E947*G947</x:f>
        <x:v>120</x:v>
      </x:c>
      <x:c r="L947" s="19" t="n">
        <x:f>K947*I947</x:f>
        <x:v>36</x:v>
      </x:c>
      <x:c r="M947" s="19" t="n">
        <x:f>(E947-F947)*G947*(1-I947)</x:f>
        <x:v>42</x:v>
      </x:c>
      <x:c r="N947" s="19" t="n">
        <x:f>(E947-F947)*H947</x:f>
        <x:v>24</x:v>
      </x:c>
      <x:c r="O947" s="19" t="n">
        <x:f>F947*J947</x:f>
        <x:v>6</x:v>
      </x:c>
      <x:c r="P947" s="19" t="n">
        <x:f>M947-N947-O947</x:f>
        <x:v>12</x:v>
      </x:c>
    </x:row>
    <x:row r="948">
      <x:c r="A948" s="15" t="str">
        <x:v>SIM-0944</x:v>
      </x:c>
      <x:c r="B948" s="15" t="str">
        <x:v>2026-05</x:v>
      </x:c>
      <x:c r="C948" s="15" t="str">
        <x:v>Prendas</x:v>
      </x:c>
      <x:c r="D948" s="15" t="str">
        <x:v>Tienda</x:v>
      </x:c>
      <x:c r="E948" s="15" t="n">
        <x:v>1</x:v>
      </x:c>
      <x:c r="F948" s="15" t="n">
        <x:v>0</x:v>
      </x:c>
      <x:c r="G948" s="19" t="n">
        <x:v>60</x:v>
      </x:c>
      <x:c r="H948" s="19" t="n">
        <x:v>24</x:v>
      </x:c>
      <x:c r="I948" s="17" t="n">
        <x:v>0.2</x:v>
      </x:c>
      <x:c r="J948" s="19" t="n">
        <x:v>2</x:v>
      </x:c>
      <x:c r="K948" s="19" t="n">
        <x:f>E948*G948</x:f>
        <x:v>60</x:v>
      </x:c>
      <x:c r="L948" s="19" t="n">
        <x:f>K948*I948</x:f>
        <x:v>12</x:v>
      </x:c>
      <x:c r="M948" s="19" t="n">
        <x:f>(E948-F948)*G948*(1-I948)</x:f>
        <x:v>48</x:v>
      </x:c>
      <x:c r="N948" s="19" t="n">
        <x:f>(E948-F948)*H948</x:f>
        <x:v>24</x:v>
      </x:c>
      <x:c r="O948" s="19" t="n">
        <x:f>F948*J948</x:f>
        <x:v>0</x:v>
      </x:c>
      <x:c r="P948" s="19" t="n">
        <x:f>M948-N948-O948</x:f>
        <x:v>24</x:v>
      </x:c>
    </x:row>
    <x:row r="949">
      <x:c r="A949" s="15" t="str">
        <x:v>SIM-0945</x:v>
      </x:c>
      <x:c r="B949" s="15" t="str">
        <x:v>2026-05</x:v>
      </x:c>
      <x:c r="C949" s="15" t="str">
        <x:v>Prendas</x:v>
      </x:c>
      <x:c r="D949" s="15" t="str">
        <x:v>Tienda</x:v>
      </x:c>
      <x:c r="E949" s="15" t="n">
        <x:v>2</x:v>
      </x:c>
      <x:c r="F949" s="15" t="n">
        <x:v>1</x:v>
      </x:c>
      <x:c r="G949" s="19" t="n">
        <x:v>60</x:v>
      </x:c>
      <x:c r="H949" s="19" t="n">
        <x:v>24</x:v>
      </x:c>
      <x:c r="I949" s="17" t="n">
        <x:v>0.3</x:v>
      </x:c>
      <x:c r="J949" s="19" t="n">
        <x:v>2</x:v>
      </x:c>
      <x:c r="K949" s="19" t="n">
        <x:f>E949*G949</x:f>
        <x:v>120</x:v>
      </x:c>
      <x:c r="L949" s="19" t="n">
        <x:f>K949*I949</x:f>
        <x:v>36</x:v>
      </x:c>
      <x:c r="M949" s="19" t="n">
        <x:f>(E949-F949)*G949*(1-I949)</x:f>
        <x:v>42</x:v>
      </x:c>
      <x:c r="N949" s="19" t="n">
        <x:f>(E949-F949)*H949</x:f>
        <x:v>24</x:v>
      </x:c>
      <x:c r="O949" s="19" t="n">
        <x:f>F949*J949</x:f>
        <x:v>2</x:v>
      </x:c>
      <x:c r="P949" s="19" t="n">
        <x:f>M949-N949-O949</x:f>
        <x:v>16</x:v>
      </x:c>
    </x:row>
    <x:row r="950">
      <x:c r="A950" s="15" t="str">
        <x:v>SIM-0946</x:v>
      </x:c>
      <x:c r="B950" s="15" t="str">
        <x:v>2026-05</x:v>
      </x:c>
      <x:c r="C950" s="15" t="str">
        <x:v>Prendas</x:v>
      </x:c>
      <x:c r="D950" s="15" t="str">
        <x:v>Tienda</x:v>
      </x:c>
      <x:c r="E950" s="15" t="n">
        <x:v>1</x:v>
      </x:c>
      <x:c r="F950" s="15" t="n">
        <x:v>0</x:v>
      </x:c>
      <x:c r="G950" s="19" t="n">
        <x:v>60</x:v>
      </x:c>
      <x:c r="H950" s="19" t="n">
        <x:v>24</x:v>
      </x:c>
      <x:c r="I950" s="17" t="n">
        <x:v>0.3</x:v>
      </x:c>
      <x:c r="J950" s="19" t="n">
        <x:v>2</x:v>
      </x:c>
      <x:c r="K950" s="19" t="n">
        <x:f>E950*G950</x:f>
        <x:v>60</x:v>
      </x:c>
      <x:c r="L950" s="19" t="n">
        <x:f>K950*I950</x:f>
        <x:v>18</x:v>
      </x:c>
      <x:c r="M950" s="19" t="n">
        <x:f>(E950-F950)*G950*(1-I950)</x:f>
        <x:v>42</x:v>
      </x:c>
      <x:c r="N950" s="19" t="n">
        <x:f>(E950-F950)*H950</x:f>
        <x:v>24</x:v>
      </x:c>
      <x:c r="O950" s="19" t="n">
        <x:f>F950*J950</x:f>
        <x:v>0</x:v>
      </x:c>
      <x:c r="P950" s="19" t="n">
        <x:f>M950-N950-O950</x:f>
        <x:v>18</x:v>
      </x:c>
    </x:row>
    <x:row r="951">
      <x:c r="A951" s="15" t="str">
        <x:v>SIM-0947</x:v>
      </x:c>
      <x:c r="B951" s="15" t="str">
        <x:v>2026-05</x:v>
      </x:c>
      <x:c r="C951" s="15" t="str">
        <x:v>Accesorios</x:v>
      </x:c>
      <x:c r="D951" s="15" t="str">
        <x:v>Tienda</x:v>
      </x:c>
      <x:c r="E951" s="15" t="n">
        <x:v>1</x:v>
      </x:c>
      <x:c r="F951" s="15" t="n">
        <x:v>0</x:v>
      </x:c>
      <x:c r="G951" s="19" t="n">
        <x:v>30</x:v>
      </x:c>
      <x:c r="H951" s="19" t="n">
        <x:v>9</x:v>
      </x:c>
      <x:c r="I951" s="17" t="n">
        <x:v>0.2</x:v>
      </x:c>
      <x:c r="J951" s="19" t="n">
        <x:v>2</x:v>
      </x:c>
      <x:c r="K951" s="19" t="n">
        <x:f>E951*G951</x:f>
        <x:v>30</x:v>
      </x:c>
      <x:c r="L951" s="19" t="n">
        <x:f>K951*I951</x:f>
        <x:v>6</x:v>
      </x:c>
      <x:c r="M951" s="19" t="n">
        <x:f>(E951-F951)*G951*(1-I951)</x:f>
        <x:v>24</x:v>
      </x:c>
      <x:c r="N951" s="19" t="n">
        <x:f>(E951-F951)*H951</x:f>
        <x:v>9</x:v>
      </x:c>
      <x:c r="O951" s="19" t="n">
        <x:f>F951*J951</x:f>
        <x:v>0</x:v>
      </x:c>
      <x:c r="P951" s="19" t="n">
        <x:f>M951-N951-O951</x:f>
        <x:v>15</x:v>
      </x:c>
    </x:row>
    <x:row r="952">
      <x:c r="A952" s="15" t="str">
        <x:v>SIM-0948</x:v>
      </x:c>
      <x:c r="B952" s="15" t="str">
        <x:v>2026-05</x:v>
      </x:c>
      <x:c r="C952" s="15" t="str">
        <x:v>Prendas</x:v>
      </x:c>
      <x:c r="D952" s="15" t="str">
        <x:v>Tienda</x:v>
      </x:c>
      <x:c r="E952" s="15" t="n">
        <x:v>1</x:v>
      </x:c>
      <x:c r="F952" s="15" t="n">
        <x:v>0</x:v>
      </x:c>
      <x:c r="G952" s="19" t="n">
        <x:v>60</x:v>
      </x:c>
      <x:c r="H952" s="19" t="n">
        <x:v>24</x:v>
      </x:c>
      <x:c r="I952" s="17" t="n">
        <x:v>0</x:v>
      </x:c>
      <x:c r="J952" s="19" t="n">
        <x:v>2</x:v>
      </x:c>
      <x:c r="K952" s="19" t="n">
        <x:f>E952*G952</x:f>
        <x:v>60</x:v>
      </x:c>
      <x:c r="L952" s="19" t="n">
        <x:f>K952*I952</x:f>
        <x:v>0</x:v>
      </x:c>
      <x:c r="M952" s="19" t="n">
        <x:f>(E952-F952)*G952*(1-I952)</x:f>
        <x:v>60</x:v>
      </x:c>
      <x:c r="N952" s="19" t="n">
        <x:f>(E952-F952)*H952</x:f>
        <x:v>24</x:v>
      </x:c>
      <x:c r="O952" s="19" t="n">
        <x:f>F952*J952</x:f>
        <x:v>0</x:v>
      </x:c>
      <x:c r="P952" s="19" t="n">
        <x:f>M952-N952-O952</x:f>
        <x:v>36</x:v>
      </x:c>
    </x:row>
    <x:row r="953">
      <x:c r="A953" s="15" t="str">
        <x:v>SIM-0949</x:v>
      </x:c>
      <x:c r="B953" s="15" t="str">
        <x:v>2026-05</x:v>
      </x:c>
      <x:c r="C953" s="15" t="str">
        <x:v>Accesorios</x:v>
      </x:c>
      <x:c r="D953" s="15" t="str">
        <x:v>Tienda</x:v>
      </x:c>
      <x:c r="E953" s="15" t="n">
        <x:v>3</x:v>
      </x:c>
      <x:c r="F953" s="15" t="n">
        <x:v>0</x:v>
      </x:c>
      <x:c r="G953" s="19" t="n">
        <x:v>30</x:v>
      </x:c>
      <x:c r="H953" s="19" t="n">
        <x:v>9</x:v>
      </x:c>
      <x:c r="I953" s="17" t="n">
        <x:v>0</x:v>
      </x:c>
      <x:c r="J953" s="19" t="n">
        <x:v>2</x:v>
      </x:c>
      <x:c r="K953" s="19" t="n">
        <x:f>E953*G953</x:f>
        <x:v>90</x:v>
      </x:c>
      <x:c r="L953" s="19" t="n">
        <x:f>K953*I953</x:f>
        <x:v>0</x:v>
      </x:c>
      <x:c r="M953" s="19" t="n">
        <x:f>(E953-F953)*G953*(1-I953)</x:f>
        <x:v>90</x:v>
      </x:c>
      <x:c r="N953" s="19" t="n">
        <x:f>(E953-F953)*H953</x:f>
        <x:v>27</x:v>
      </x:c>
      <x:c r="O953" s="19" t="n">
        <x:f>F953*J953</x:f>
        <x:v>0</x:v>
      </x:c>
      <x:c r="P953" s="19" t="n">
        <x:f>M953-N953-O953</x:f>
        <x:v>63</x:v>
      </x:c>
    </x:row>
    <x:row r="954">
      <x:c r="A954" s="15" t="str">
        <x:v>SIM-0950</x:v>
      </x:c>
      <x:c r="B954" s="15" t="str">
        <x:v>2026-05</x:v>
      </x:c>
      <x:c r="C954" s="15" t="str">
        <x:v>Accesorios</x:v>
      </x:c>
      <x:c r="D954" s="15" t="str">
        <x:v>Online</x:v>
      </x:c>
      <x:c r="E954" s="15" t="n">
        <x:v>1</x:v>
      </x:c>
      <x:c r="F954" s="15" t="n">
        <x:v>0</x:v>
      </x:c>
      <x:c r="G954" s="19" t="n">
        <x:v>30</x:v>
      </x:c>
      <x:c r="H954" s="19" t="n">
        <x:v>9</x:v>
      </x:c>
      <x:c r="I954" s="17" t="n">
        <x:v>0.3</x:v>
      </x:c>
      <x:c r="J954" s="19" t="n">
        <x:v>6</x:v>
      </x:c>
      <x:c r="K954" s="19" t="n">
        <x:f>E954*G954</x:f>
        <x:v>30</x:v>
      </x:c>
      <x:c r="L954" s="19" t="n">
        <x:f>K954*I954</x:f>
        <x:v>9</x:v>
      </x:c>
      <x:c r="M954" s="19" t="n">
        <x:f>(E954-F954)*G954*(1-I954)</x:f>
        <x:v>21</x:v>
      </x:c>
      <x:c r="N954" s="19" t="n">
        <x:f>(E954-F954)*H954</x:f>
        <x:v>9</x:v>
      </x:c>
      <x:c r="O954" s="19" t="n">
        <x:f>F954*J954</x:f>
        <x:v>0</x:v>
      </x:c>
      <x:c r="P954" s="19" t="n">
        <x:f>M954-N954-O954</x:f>
        <x:v>12</x:v>
      </x:c>
    </x:row>
    <x:row r="955">
      <x:c r="A955" s="15" t="str">
        <x:v>SIM-0951</x:v>
      </x:c>
      <x:c r="B955" s="15" t="str">
        <x:v>2026-05</x:v>
      </x:c>
      <x:c r="C955" s="15" t="str">
        <x:v>Prendas</x:v>
      </x:c>
      <x:c r="D955" s="15" t="str">
        <x:v>Tienda</x:v>
      </x:c>
      <x:c r="E955" s="15" t="n">
        <x:v>2</x:v>
      </x:c>
      <x:c r="F955" s="15" t="n">
        <x:v>0</x:v>
      </x:c>
      <x:c r="G955" s="19" t="n">
        <x:v>60</x:v>
      </x:c>
      <x:c r="H955" s="19" t="n">
        <x:v>24</x:v>
      </x:c>
      <x:c r="I955" s="17" t="n">
        <x:v>0</x:v>
      </x:c>
      <x:c r="J955" s="19" t="n">
        <x:v>2</x:v>
      </x:c>
      <x:c r="K955" s="19" t="n">
        <x:f>E955*G955</x:f>
        <x:v>120</x:v>
      </x:c>
      <x:c r="L955" s="19" t="n">
        <x:f>K955*I955</x:f>
        <x:v>0</x:v>
      </x:c>
      <x:c r="M955" s="19" t="n">
        <x:f>(E955-F955)*G955*(1-I955)</x:f>
        <x:v>120</x:v>
      </x:c>
      <x:c r="N955" s="19" t="n">
        <x:f>(E955-F955)*H955</x:f>
        <x:v>48</x:v>
      </x:c>
      <x:c r="O955" s="19" t="n">
        <x:f>F955*J955</x:f>
        <x:v>0</x:v>
      </x:c>
      <x:c r="P955" s="19" t="n">
        <x:f>M955-N955-O955</x:f>
        <x:v>72</x:v>
      </x:c>
    </x:row>
    <x:row r="956">
      <x:c r="A956" s="15" t="str">
        <x:v>SIM-0952</x:v>
      </x:c>
      <x:c r="B956" s="15" t="str">
        <x:v>2026-05</x:v>
      </x:c>
      <x:c r="C956" s="15" t="str">
        <x:v>Prendas</x:v>
      </x:c>
      <x:c r="D956" s="15" t="str">
        <x:v>Online</x:v>
      </x:c>
      <x:c r="E956" s="15" t="n">
        <x:v>1</x:v>
      </x:c>
      <x:c r="F956" s="15" t="n">
        <x:v>0</x:v>
      </x:c>
      <x:c r="G956" s="19" t="n">
        <x:v>60</x:v>
      </x:c>
      <x:c r="H956" s="19" t="n">
        <x:v>24</x:v>
      </x:c>
      <x:c r="I956" s="17" t="n">
        <x:v>0.1</x:v>
      </x:c>
      <x:c r="J956" s="19" t="n">
        <x:v>6</x:v>
      </x:c>
      <x:c r="K956" s="19" t="n">
        <x:f>E956*G956</x:f>
        <x:v>60</x:v>
      </x:c>
      <x:c r="L956" s="19" t="n">
        <x:f>K956*I956</x:f>
        <x:v>6</x:v>
      </x:c>
      <x:c r="M956" s="19" t="n">
        <x:f>(E956-F956)*G956*(1-I956)</x:f>
        <x:v>54</x:v>
      </x:c>
      <x:c r="N956" s="19" t="n">
        <x:f>(E956-F956)*H956</x:f>
        <x:v>24</x:v>
      </x:c>
      <x:c r="O956" s="19" t="n">
        <x:f>F956*J956</x:f>
        <x:v>0</x:v>
      </x:c>
      <x:c r="P956" s="19" t="n">
        <x:f>M956-N956-O956</x:f>
        <x:v>30</x:v>
      </x:c>
    </x:row>
    <x:row r="957">
      <x:c r="A957" s="15" t="str">
        <x:v>SIM-0953</x:v>
      </x:c>
      <x:c r="B957" s="15" t="str">
        <x:v>2026-05</x:v>
      </x:c>
      <x:c r="C957" s="15" t="str">
        <x:v>Accesorios</x:v>
      </x:c>
      <x:c r="D957" s="15" t="str">
        <x:v>Online</x:v>
      </x:c>
      <x:c r="E957" s="15" t="n">
        <x:v>1</x:v>
      </x:c>
      <x:c r="F957" s="15" t="n">
        <x:v>1</x:v>
      </x:c>
      <x:c r="G957" s="19" t="n">
        <x:v>30</x:v>
      </x:c>
      <x:c r="H957" s="19" t="n">
        <x:v>9</x:v>
      </x:c>
      <x:c r="I957" s="17" t="n">
        <x:v>0</x:v>
      </x:c>
      <x:c r="J957" s="19" t="n">
        <x:v>6</x:v>
      </x:c>
      <x:c r="K957" s="19" t="n">
        <x:f>E957*G957</x:f>
        <x:v>30</x:v>
      </x:c>
      <x:c r="L957" s="19" t="n">
        <x:f>K957*I957</x:f>
        <x:v>0</x:v>
      </x:c>
      <x:c r="M957" s="19" t="n">
        <x:f>(E957-F957)*G957*(1-I957)</x:f>
        <x:v>0</x:v>
      </x:c>
      <x:c r="N957" s="19" t="n">
        <x:f>(E957-F957)*H957</x:f>
        <x:v>0</x:v>
      </x:c>
      <x:c r="O957" s="19" t="n">
        <x:f>F957*J957</x:f>
        <x:v>6</x:v>
      </x:c>
      <x:c r="P957" s="19" t="n">
        <x:f>M957-N957-O957</x:f>
        <x:v>-6</x:v>
      </x:c>
    </x:row>
    <x:row r="958">
      <x:c r="A958" s="15" t="str">
        <x:v>SIM-0954</x:v>
      </x:c>
      <x:c r="B958" s="15" t="str">
        <x:v>2026-05</x:v>
      </x:c>
      <x:c r="C958" s="15" t="str">
        <x:v>Calzado</x:v>
      </x:c>
      <x:c r="D958" s="15" t="str">
        <x:v>Online</x:v>
      </x:c>
      <x:c r="E958" s="15" t="n">
        <x:v>1</x:v>
      </x:c>
      <x:c r="F958" s="15" t="n">
        <x:v>0</x:v>
      </x:c>
      <x:c r="G958" s="19" t="n">
        <x:v>90</x:v>
      </x:c>
      <x:c r="H958" s="19" t="n">
        <x:v>42</x:v>
      </x:c>
      <x:c r="I958" s="17" t="n">
        <x:v>0</x:v>
      </x:c>
      <x:c r="J958" s="19" t="n">
        <x:v>6</x:v>
      </x:c>
      <x:c r="K958" s="19" t="n">
        <x:f>E958*G958</x:f>
        <x:v>90</x:v>
      </x:c>
      <x:c r="L958" s="19" t="n">
        <x:f>K958*I958</x:f>
        <x:v>0</x:v>
      </x:c>
      <x:c r="M958" s="19" t="n">
        <x:f>(E958-F958)*G958*(1-I958)</x:f>
        <x:v>90</x:v>
      </x:c>
      <x:c r="N958" s="19" t="n">
        <x:f>(E958-F958)*H958</x:f>
        <x:v>42</x:v>
      </x:c>
      <x:c r="O958" s="19" t="n">
        <x:f>F958*J958</x:f>
        <x:v>0</x:v>
      </x:c>
      <x:c r="P958" s="19" t="n">
        <x:f>M958-N958-O958</x:f>
        <x:v>48</x:v>
      </x:c>
    </x:row>
    <x:row r="959">
      <x:c r="A959" s="15" t="str">
        <x:v>SIM-0955</x:v>
      </x:c>
      <x:c r="B959" s="15" t="str">
        <x:v>2026-05</x:v>
      </x:c>
      <x:c r="C959" s="15" t="str">
        <x:v>Prendas</x:v>
      </x:c>
      <x:c r="D959" s="15" t="str">
        <x:v>Online</x:v>
      </x:c>
      <x:c r="E959" s="15" t="n">
        <x:v>1</x:v>
      </x:c>
      <x:c r="F959" s="15" t="n">
        <x:v>0</x:v>
      </x:c>
      <x:c r="G959" s="19" t="n">
        <x:v>60</x:v>
      </x:c>
      <x:c r="H959" s="19" t="n">
        <x:v>24</x:v>
      </x:c>
      <x:c r="I959" s="17" t="n">
        <x:v>0</x:v>
      </x:c>
      <x:c r="J959" s="19" t="n">
        <x:v>6</x:v>
      </x:c>
      <x:c r="K959" s="19" t="n">
        <x:f>E959*G959</x:f>
        <x:v>60</x:v>
      </x:c>
      <x:c r="L959" s="19" t="n">
        <x:f>K959*I959</x:f>
        <x:v>0</x:v>
      </x:c>
      <x:c r="M959" s="19" t="n">
        <x:f>(E959-F959)*G959*(1-I959)</x:f>
        <x:v>60</x:v>
      </x:c>
      <x:c r="N959" s="19" t="n">
        <x:f>(E959-F959)*H959</x:f>
        <x:v>24</x:v>
      </x:c>
      <x:c r="O959" s="19" t="n">
        <x:f>F959*J959</x:f>
        <x:v>0</x:v>
      </x:c>
      <x:c r="P959" s="19" t="n">
        <x:f>M959-N959-O959</x:f>
        <x:v>36</x:v>
      </x:c>
    </x:row>
    <x:row r="960">
      <x:c r="A960" s="15" t="str">
        <x:v>SIM-0956</x:v>
      </x:c>
      <x:c r="B960" s="15" t="str">
        <x:v>2026-05</x:v>
      </x:c>
      <x:c r="C960" s="15" t="str">
        <x:v>Prendas</x:v>
      </x:c>
      <x:c r="D960" s="15" t="str">
        <x:v>Tienda</x:v>
      </x:c>
      <x:c r="E960" s="15" t="n">
        <x:v>1</x:v>
      </x:c>
      <x:c r="F960" s="15" t="n">
        <x:v>0</x:v>
      </x:c>
      <x:c r="G960" s="19" t="n">
        <x:v>60</x:v>
      </x:c>
      <x:c r="H960" s="19" t="n">
        <x:v>24</x:v>
      </x:c>
      <x:c r="I960" s="17" t="n">
        <x:v>0</x:v>
      </x:c>
      <x:c r="J960" s="19" t="n">
        <x:v>2</x:v>
      </x:c>
      <x:c r="K960" s="19" t="n">
        <x:f>E960*G960</x:f>
        <x:v>60</x:v>
      </x:c>
      <x:c r="L960" s="19" t="n">
        <x:f>K960*I960</x:f>
        <x:v>0</x:v>
      </x:c>
      <x:c r="M960" s="19" t="n">
        <x:f>(E960-F960)*G960*(1-I960)</x:f>
        <x:v>60</x:v>
      </x:c>
      <x:c r="N960" s="19" t="n">
        <x:f>(E960-F960)*H960</x:f>
        <x:v>24</x:v>
      </x:c>
      <x:c r="O960" s="19" t="n">
        <x:f>F960*J960</x:f>
        <x:v>0</x:v>
      </x:c>
      <x:c r="P960" s="19" t="n">
        <x:f>M960-N960-O960</x:f>
        <x:v>36</x:v>
      </x:c>
    </x:row>
    <x:row r="961">
      <x:c r="A961" s="15" t="str">
        <x:v>SIM-0957</x:v>
      </x:c>
      <x:c r="B961" s="15" t="str">
        <x:v>2026-05</x:v>
      </x:c>
      <x:c r="C961" s="15" t="str">
        <x:v>Calzado</x:v>
      </x:c>
      <x:c r="D961" s="15" t="str">
        <x:v>Tienda</x:v>
      </x:c>
      <x:c r="E961" s="15" t="n">
        <x:v>1</x:v>
      </x:c>
      <x:c r="F961" s="15" t="n">
        <x:v>0</x:v>
      </x:c>
      <x:c r="G961" s="19" t="n">
        <x:v>90</x:v>
      </x:c>
      <x:c r="H961" s="19" t="n">
        <x:v>42</x:v>
      </x:c>
      <x:c r="I961" s="17" t="n">
        <x:v>0</x:v>
      </x:c>
      <x:c r="J961" s="19" t="n">
        <x:v>2</x:v>
      </x:c>
      <x:c r="K961" s="19" t="n">
        <x:f>E961*G961</x:f>
        <x:v>90</x:v>
      </x:c>
      <x:c r="L961" s="19" t="n">
        <x:f>K961*I961</x:f>
        <x:v>0</x:v>
      </x:c>
      <x:c r="M961" s="19" t="n">
        <x:f>(E961-F961)*G961*(1-I961)</x:f>
        <x:v>90</x:v>
      </x:c>
      <x:c r="N961" s="19" t="n">
        <x:f>(E961-F961)*H961</x:f>
        <x:v>42</x:v>
      </x:c>
      <x:c r="O961" s="19" t="n">
        <x:f>F961*J961</x:f>
        <x:v>0</x:v>
      </x:c>
      <x:c r="P961" s="19" t="n">
        <x:f>M961-N961-O961</x:f>
        <x:v>48</x:v>
      </x:c>
    </x:row>
    <x:row r="962">
      <x:c r="A962" s="15" t="str">
        <x:v>SIM-0958</x:v>
      </x:c>
      <x:c r="B962" s="15" t="str">
        <x:v>2026-05</x:v>
      </x:c>
      <x:c r="C962" s="15" t="str">
        <x:v>Calzado</x:v>
      </x:c>
      <x:c r="D962" s="15" t="str">
        <x:v>Online</x:v>
      </x:c>
      <x:c r="E962" s="15" t="n">
        <x:v>1</x:v>
      </x:c>
      <x:c r="F962" s="15" t="n">
        <x:v>0</x:v>
      </x:c>
      <x:c r="G962" s="19" t="n">
        <x:v>90</x:v>
      </x:c>
      <x:c r="H962" s="19" t="n">
        <x:v>42</x:v>
      </x:c>
      <x:c r="I962" s="17" t="n">
        <x:v>0.3</x:v>
      </x:c>
      <x:c r="J962" s="19" t="n">
        <x:v>6</x:v>
      </x:c>
      <x:c r="K962" s="19" t="n">
        <x:f>E962*G962</x:f>
        <x:v>90</x:v>
      </x:c>
      <x:c r="L962" s="19" t="n">
        <x:f>K962*I962</x:f>
        <x:v>27</x:v>
      </x:c>
      <x:c r="M962" s="19" t="n">
        <x:f>(E962-F962)*G962*(1-I962)</x:f>
        <x:v>62.99999999999999</x:v>
      </x:c>
      <x:c r="N962" s="19" t="n">
        <x:f>(E962-F962)*H962</x:f>
        <x:v>42</x:v>
      </x:c>
      <x:c r="O962" s="19" t="n">
        <x:f>F962*J962</x:f>
        <x:v>0</x:v>
      </x:c>
      <x:c r="P962" s="19" t="n">
        <x:f>M962-N962-O962</x:f>
        <x:v>20.999999999999993</x:v>
      </x:c>
    </x:row>
    <x:row r="963">
      <x:c r="A963" s="15" t="str">
        <x:v>SIM-0959</x:v>
      </x:c>
      <x:c r="B963" s="15" t="str">
        <x:v>2026-05</x:v>
      </x:c>
      <x:c r="C963" s="15" t="str">
        <x:v>Prendas</x:v>
      </x:c>
      <x:c r="D963" s="15" t="str">
        <x:v>Tienda</x:v>
      </x:c>
      <x:c r="E963" s="15" t="n">
        <x:v>1</x:v>
      </x:c>
      <x:c r="F963" s="15" t="n">
        <x:v>0</x:v>
      </x:c>
      <x:c r="G963" s="19" t="n">
        <x:v>60</x:v>
      </x:c>
      <x:c r="H963" s="19" t="n">
        <x:v>24</x:v>
      </x:c>
      <x:c r="I963" s="17" t="n">
        <x:v>0</x:v>
      </x:c>
      <x:c r="J963" s="19" t="n">
        <x:v>2</x:v>
      </x:c>
      <x:c r="K963" s="19" t="n">
        <x:f>E963*G963</x:f>
        <x:v>60</x:v>
      </x:c>
      <x:c r="L963" s="19" t="n">
        <x:f>K963*I963</x:f>
        <x:v>0</x:v>
      </x:c>
      <x:c r="M963" s="19" t="n">
        <x:f>(E963-F963)*G963*(1-I963)</x:f>
        <x:v>60</x:v>
      </x:c>
      <x:c r="N963" s="19" t="n">
        <x:f>(E963-F963)*H963</x:f>
        <x:v>24</x:v>
      </x:c>
      <x:c r="O963" s="19" t="n">
        <x:f>F963*J963</x:f>
        <x:v>0</x:v>
      </x:c>
      <x:c r="P963" s="19" t="n">
        <x:f>M963-N963-O963</x:f>
        <x:v>36</x:v>
      </x:c>
    </x:row>
    <x:row r="964">
      <x:c r="A964" s="15" t="str">
        <x:v>SIM-0960</x:v>
      </x:c>
      <x:c r="B964" s="15" t="str">
        <x:v>2026-05</x:v>
      </x:c>
      <x:c r="C964" s="15" t="str">
        <x:v>Accesorios</x:v>
      </x:c>
      <x:c r="D964" s="15" t="str">
        <x:v>Online</x:v>
      </x:c>
      <x:c r="E964" s="15" t="n">
        <x:v>1</x:v>
      </x:c>
      <x:c r="F964" s="15" t="n">
        <x:v>0</x:v>
      </x:c>
      <x:c r="G964" s="19" t="n">
        <x:v>30</x:v>
      </x:c>
      <x:c r="H964" s="19" t="n">
        <x:v>9</x:v>
      </x:c>
      <x:c r="I964" s="17" t="n">
        <x:v>0.1</x:v>
      </x:c>
      <x:c r="J964" s="19" t="n">
        <x:v>6</x:v>
      </x:c>
      <x:c r="K964" s="19" t="n">
        <x:f>E964*G964</x:f>
        <x:v>30</x:v>
      </x:c>
      <x:c r="L964" s="19" t="n">
        <x:f>K964*I964</x:f>
        <x:v>3</x:v>
      </x:c>
      <x:c r="M964" s="19" t="n">
        <x:f>(E964-F964)*G964*(1-I964)</x:f>
        <x:v>27</x:v>
      </x:c>
      <x:c r="N964" s="19" t="n">
        <x:f>(E964-F964)*H964</x:f>
        <x:v>9</x:v>
      </x:c>
      <x:c r="O964" s="19" t="n">
        <x:f>F964*J964</x:f>
        <x:v>0</x:v>
      </x:c>
      <x:c r="P964" s="19" t="n">
        <x:f>M964-N964-O964</x:f>
        <x:v>18</x:v>
      </x:c>
    </x:row>
    <x:row r="965">
      <x:c r="A965" s="15" t="str">
        <x:v>SIM-0961</x:v>
      </x:c>
      <x:c r="B965" s="15" t="str">
        <x:v>2026-05</x:v>
      </x:c>
      <x:c r="C965" s="15" t="str">
        <x:v>Calzado</x:v>
      </x:c>
      <x:c r="D965" s="15" t="str">
        <x:v>Online</x:v>
      </x:c>
      <x:c r="E965" s="15" t="n">
        <x:v>1</x:v>
      </x:c>
      <x:c r="F965" s="15" t="n">
        <x:v>0</x:v>
      </x:c>
      <x:c r="G965" s="19" t="n">
        <x:v>90</x:v>
      </x:c>
      <x:c r="H965" s="19" t="n">
        <x:v>42</x:v>
      </x:c>
      <x:c r="I965" s="17" t="n">
        <x:v>0</x:v>
      </x:c>
      <x:c r="J965" s="19" t="n">
        <x:v>6</x:v>
      </x:c>
      <x:c r="K965" s="19" t="n">
        <x:f>E965*G965</x:f>
        <x:v>90</x:v>
      </x:c>
      <x:c r="L965" s="19" t="n">
        <x:f>K965*I965</x:f>
        <x:v>0</x:v>
      </x:c>
      <x:c r="M965" s="19" t="n">
        <x:f>(E965-F965)*G965*(1-I965)</x:f>
        <x:v>90</x:v>
      </x:c>
      <x:c r="N965" s="19" t="n">
        <x:f>(E965-F965)*H965</x:f>
        <x:v>42</x:v>
      </x:c>
      <x:c r="O965" s="19" t="n">
        <x:f>F965*J965</x:f>
        <x:v>0</x:v>
      </x:c>
      <x:c r="P965" s="19" t="n">
        <x:f>M965-N965-O965</x:f>
        <x:v>48</x:v>
      </x:c>
    </x:row>
    <x:row r="966">
      <x:c r="A966" s="15" t="str">
        <x:v>SIM-0962</x:v>
      </x:c>
      <x:c r="B966" s="15" t="str">
        <x:v>2026-05</x:v>
      </x:c>
      <x:c r="C966" s="15" t="str">
        <x:v>Prendas</x:v>
      </x:c>
      <x:c r="D966" s="15" t="str">
        <x:v>Tienda</x:v>
      </x:c>
      <x:c r="E966" s="15" t="n">
        <x:v>2</x:v>
      </x:c>
      <x:c r="F966" s="15" t="n">
        <x:v>0</x:v>
      </x:c>
      <x:c r="G966" s="19" t="n">
        <x:v>60</x:v>
      </x:c>
      <x:c r="H966" s="19" t="n">
        <x:v>24</x:v>
      </x:c>
      <x:c r="I966" s="17" t="n">
        <x:v>0.1</x:v>
      </x:c>
      <x:c r="J966" s="19" t="n">
        <x:v>2</x:v>
      </x:c>
      <x:c r="K966" s="19" t="n">
        <x:f>E966*G966</x:f>
        <x:v>120</x:v>
      </x:c>
      <x:c r="L966" s="19" t="n">
        <x:f>K966*I966</x:f>
        <x:v>12</x:v>
      </x:c>
      <x:c r="M966" s="19" t="n">
        <x:f>(E966-F966)*G966*(1-I966)</x:f>
        <x:v>108</x:v>
      </x:c>
      <x:c r="N966" s="19" t="n">
        <x:f>(E966-F966)*H966</x:f>
        <x:v>48</x:v>
      </x:c>
      <x:c r="O966" s="19" t="n">
        <x:f>F966*J966</x:f>
        <x:v>0</x:v>
      </x:c>
      <x:c r="P966" s="19" t="n">
        <x:f>M966-N966-O966</x:f>
        <x:v>60</x:v>
      </x:c>
    </x:row>
    <x:row r="967">
      <x:c r="A967" s="15" t="str">
        <x:v>SIM-0963</x:v>
      </x:c>
      <x:c r="B967" s="15" t="str">
        <x:v>2026-05</x:v>
      </x:c>
      <x:c r="C967" s="15" t="str">
        <x:v>Prendas</x:v>
      </x:c>
      <x:c r="D967" s="15" t="str">
        <x:v>Online</x:v>
      </x:c>
      <x:c r="E967" s="15" t="n">
        <x:v>1</x:v>
      </x:c>
      <x:c r="F967" s="15" t="n">
        <x:v>0</x:v>
      </x:c>
      <x:c r="G967" s="19" t="n">
        <x:v>60</x:v>
      </x:c>
      <x:c r="H967" s="19" t="n">
        <x:v>24</x:v>
      </x:c>
      <x:c r="I967" s="17" t="n">
        <x:v>0.3</x:v>
      </x:c>
      <x:c r="J967" s="19" t="n">
        <x:v>6</x:v>
      </x:c>
      <x:c r="K967" s="19" t="n">
        <x:f>E967*G967</x:f>
        <x:v>60</x:v>
      </x:c>
      <x:c r="L967" s="19" t="n">
        <x:f>K967*I967</x:f>
        <x:v>18</x:v>
      </x:c>
      <x:c r="M967" s="19" t="n">
        <x:f>(E967-F967)*G967*(1-I967)</x:f>
        <x:v>42</x:v>
      </x:c>
      <x:c r="N967" s="19" t="n">
        <x:f>(E967-F967)*H967</x:f>
        <x:v>24</x:v>
      </x:c>
      <x:c r="O967" s="19" t="n">
        <x:f>F967*J967</x:f>
        <x:v>0</x:v>
      </x:c>
      <x:c r="P967" s="19" t="n">
        <x:f>M967-N967-O967</x:f>
        <x:v>18</x:v>
      </x:c>
    </x:row>
    <x:row r="968">
      <x:c r="A968" s="15" t="str">
        <x:v>SIM-0964</x:v>
      </x:c>
      <x:c r="B968" s="15" t="str">
        <x:v>2026-05</x:v>
      </x:c>
      <x:c r="C968" s="15" t="str">
        <x:v>Calzado</x:v>
      </x:c>
      <x:c r="D968" s="15" t="str">
        <x:v>Tienda</x:v>
      </x:c>
      <x:c r="E968" s="15" t="n">
        <x:v>1</x:v>
      </x:c>
      <x:c r="F968" s="15" t="n">
        <x:v>0</x:v>
      </x:c>
      <x:c r="G968" s="19" t="n">
        <x:v>90</x:v>
      </x:c>
      <x:c r="H968" s="19" t="n">
        <x:v>42</x:v>
      </x:c>
      <x:c r="I968" s="17" t="n">
        <x:v>0.1</x:v>
      </x:c>
      <x:c r="J968" s="19" t="n">
        <x:v>2</x:v>
      </x:c>
      <x:c r="K968" s="19" t="n">
        <x:f>E968*G968</x:f>
        <x:v>90</x:v>
      </x:c>
      <x:c r="L968" s="19" t="n">
        <x:f>K968*I968</x:f>
        <x:v>9</x:v>
      </x:c>
      <x:c r="M968" s="19" t="n">
        <x:f>(E968-F968)*G968*(1-I968)</x:f>
        <x:v>81</x:v>
      </x:c>
      <x:c r="N968" s="19" t="n">
        <x:f>(E968-F968)*H968</x:f>
        <x:v>42</x:v>
      </x:c>
      <x:c r="O968" s="19" t="n">
        <x:f>F968*J968</x:f>
        <x:v>0</x:v>
      </x:c>
      <x:c r="P968" s="19" t="n">
        <x:f>M968-N968-O968</x:f>
        <x:v>39</x:v>
      </x:c>
    </x:row>
    <x:row r="969">
      <x:c r="A969" s="15" t="str">
        <x:v>SIM-0965</x:v>
      </x:c>
      <x:c r="B969" s="15" t="str">
        <x:v>2026-05</x:v>
      </x:c>
      <x:c r="C969" s="15" t="str">
        <x:v>Prendas</x:v>
      </x:c>
      <x:c r="D969" s="15" t="str">
        <x:v>Tienda</x:v>
      </x:c>
      <x:c r="E969" s="15" t="n">
        <x:v>2</x:v>
      </x:c>
      <x:c r="F969" s="15" t="n">
        <x:v>0</x:v>
      </x:c>
      <x:c r="G969" s="19" t="n">
        <x:v>60</x:v>
      </x:c>
      <x:c r="H969" s="19" t="n">
        <x:v>24</x:v>
      </x:c>
      <x:c r="I969" s="17" t="n">
        <x:v>0.1</x:v>
      </x:c>
      <x:c r="J969" s="19" t="n">
        <x:v>2</x:v>
      </x:c>
      <x:c r="K969" s="19" t="n">
        <x:f>E969*G969</x:f>
        <x:v>120</x:v>
      </x:c>
      <x:c r="L969" s="19" t="n">
        <x:f>K969*I969</x:f>
        <x:v>12</x:v>
      </x:c>
      <x:c r="M969" s="19" t="n">
        <x:f>(E969-F969)*G969*(1-I969)</x:f>
        <x:v>108</x:v>
      </x:c>
      <x:c r="N969" s="19" t="n">
        <x:f>(E969-F969)*H969</x:f>
        <x:v>48</x:v>
      </x:c>
      <x:c r="O969" s="19" t="n">
        <x:f>F969*J969</x:f>
        <x:v>0</x:v>
      </x:c>
      <x:c r="P969" s="19" t="n">
        <x:f>M969-N969-O969</x:f>
        <x:v>60</x:v>
      </x:c>
    </x:row>
    <x:row r="970">
      <x:c r="A970" s="15" t="str">
        <x:v>SIM-0966</x:v>
      </x:c>
      <x:c r="B970" s="15" t="str">
        <x:v>2026-05</x:v>
      </x:c>
      <x:c r="C970" s="15" t="str">
        <x:v>Calzado</x:v>
      </x:c>
      <x:c r="D970" s="15" t="str">
        <x:v>Tienda</x:v>
      </x:c>
      <x:c r="E970" s="15" t="n">
        <x:v>1</x:v>
      </x:c>
      <x:c r="F970" s="15" t="n">
        <x:v>0</x:v>
      </x:c>
      <x:c r="G970" s="19" t="n">
        <x:v>90</x:v>
      </x:c>
      <x:c r="H970" s="19" t="n">
        <x:v>42</x:v>
      </x:c>
      <x:c r="I970" s="17" t="n">
        <x:v>0.2</x:v>
      </x:c>
      <x:c r="J970" s="19" t="n">
        <x:v>2</x:v>
      </x:c>
      <x:c r="K970" s="19" t="n">
        <x:f>E970*G970</x:f>
        <x:v>90</x:v>
      </x:c>
      <x:c r="L970" s="19" t="n">
        <x:f>K970*I970</x:f>
        <x:v>18</x:v>
      </x:c>
      <x:c r="M970" s="19" t="n">
        <x:f>(E970-F970)*G970*(1-I970)</x:f>
        <x:v>72</x:v>
      </x:c>
      <x:c r="N970" s="19" t="n">
        <x:f>(E970-F970)*H970</x:f>
        <x:v>42</x:v>
      </x:c>
      <x:c r="O970" s="19" t="n">
        <x:f>F970*J970</x:f>
        <x:v>0</x:v>
      </x:c>
      <x:c r="P970" s="19" t="n">
        <x:f>M970-N970-O970</x:f>
        <x:v>30</x:v>
      </x:c>
    </x:row>
    <x:row r="971">
      <x:c r="A971" s="15" t="str">
        <x:v>SIM-0967</x:v>
      </x:c>
      <x:c r="B971" s="15" t="str">
        <x:v>2026-05</x:v>
      </x:c>
      <x:c r="C971" s="15" t="str">
        <x:v>Calzado</x:v>
      </x:c>
      <x:c r="D971" s="15" t="str">
        <x:v>Tienda</x:v>
      </x:c>
      <x:c r="E971" s="15" t="n">
        <x:v>1</x:v>
      </x:c>
      <x:c r="F971" s="15" t="n">
        <x:v>0</x:v>
      </x:c>
      <x:c r="G971" s="19" t="n">
        <x:v>90</x:v>
      </x:c>
      <x:c r="H971" s="19" t="n">
        <x:v>42</x:v>
      </x:c>
      <x:c r="I971" s="17" t="n">
        <x:v>0.3</x:v>
      </x:c>
      <x:c r="J971" s="19" t="n">
        <x:v>2</x:v>
      </x:c>
      <x:c r="K971" s="19" t="n">
        <x:f>E971*G971</x:f>
        <x:v>90</x:v>
      </x:c>
      <x:c r="L971" s="19" t="n">
        <x:f>K971*I971</x:f>
        <x:v>27</x:v>
      </x:c>
      <x:c r="M971" s="19" t="n">
        <x:f>(E971-F971)*G971*(1-I971)</x:f>
        <x:v>62.99999999999999</x:v>
      </x:c>
      <x:c r="N971" s="19" t="n">
        <x:f>(E971-F971)*H971</x:f>
        <x:v>42</x:v>
      </x:c>
      <x:c r="O971" s="19" t="n">
        <x:f>F971*J971</x:f>
        <x:v>0</x:v>
      </x:c>
      <x:c r="P971" s="19" t="n">
        <x:f>M971-N971-O971</x:f>
        <x:v>20.999999999999993</x:v>
      </x:c>
    </x:row>
    <x:row r="972">
      <x:c r="A972" s="15" t="str">
        <x:v>SIM-0968</x:v>
      </x:c>
      <x:c r="B972" s="15" t="str">
        <x:v>2026-05</x:v>
      </x:c>
      <x:c r="C972" s="15" t="str">
        <x:v>Calzado</x:v>
      </x:c>
      <x:c r="D972" s="15" t="str">
        <x:v>Online</x:v>
      </x:c>
      <x:c r="E972" s="15" t="n">
        <x:v>1</x:v>
      </x:c>
      <x:c r="F972" s="15" t="n">
        <x:v>0</x:v>
      </x:c>
      <x:c r="G972" s="19" t="n">
        <x:v>90</x:v>
      </x:c>
      <x:c r="H972" s="19" t="n">
        <x:v>42</x:v>
      </x:c>
      <x:c r="I972" s="17" t="n">
        <x:v>0</x:v>
      </x:c>
      <x:c r="J972" s="19" t="n">
        <x:v>6</x:v>
      </x:c>
      <x:c r="K972" s="19" t="n">
        <x:f>E972*G972</x:f>
        <x:v>90</x:v>
      </x:c>
      <x:c r="L972" s="19" t="n">
        <x:f>K972*I972</x:f>
        <x:v>0</x:v>
      </x:c>
      <x:c r="M972" s="19" t="n">
        <x:f>(E972-F972)*G972*(1-I972)</x:f>
        <x:v>90</x:v>
      </x:c>
      <x:c r="N972" s="19" t="n">
        <x:f>(E972-F972)*H972</x:f>
        <x:v>42</x:v>
      </x:c>
      <x:c r="O972" s="19" t="n">
        <x:f>F972*J972</x:f>
        <x:v>0</x:v>
      </x:c>
      <x:c r="P972" s="19" t="n">
        <x:f>M972-N972-O972</x:f>
        <x:v>48</x:v>
      </x:c>
    </x:row>
    <x:row r="973">
      <x:c r="A973" s="15" t="str">
        <x:v>SIM-0969</x:v>
      </x:c>
      <x:c r="B973" s="15" t="str">
        <x:v>2026-05</x:v>
      </x:c>
      <x:c r="C973" s="15" t="str">
        <x:v>Accesorios</x:v>
      </x:c>
      <x:c r="D973" s="15" t="str">
        <x:v>Tienda</x:v>
      </x:c>
      <x:c r="E973" s="15" t="n">
        <x:v>1</x:v>
      </x:c>
      <x:c r="F973" s="15" t="n">
        <x:v>0</x:v>
      </x:c>
      <x:c r="G973" s="19" t="n">
        <x:v>30</x:v>
      </x:c>
      <x:c r="H973" s="19" t="n">
        <x:v>9</x:v>
      </x:c>
      <x:c r="I973" s="17" t="n">
        <x:v>0.3</x:v>
      </x:c>
      <x:c r="J973" s="19" t="n">
        <x:v>2</x:v>
      </x:c>
      <x:c r="K973" s="19" t="n">
        <x:f>E973*G973</x:f>
        <x:v>30</x:v>
      </x:c>
      <x:c r="L973" s="19" t="n">
        <x:f>K973*I973</x:f>
        <x:v>9</x:v>
      </x:c>
      <x:c r="M973" s="19" t="n">
        <x:f>(E973-F973)*G973*(1-I973)</x:f>
        <x:v>21</x:v>
      </x:c>
      <x:c r="N973" s="19" t="n">
        <x:f>(E973-F973)*H973</x:f>
        <x:v>9</x:v>
      </x:c>
      <x:c r="O973" s="19" t="n">
        <x:f>F973*J973</x:f>
        <x:v>0</x:v>
      </x:c>
      <x:c r="P973" s="19" t="n">
        <x:f>M973-N973-O973</x:f>
        <x:v>12</x:v>
      </x:c>
    </x:row>
    <x:row r="974">
      <x:c r="A974" s="15" t="str">
        <x:v>SIM-0970</x:v>
      </x:c>
      <x:c r="B974" s="15" t="str">
        <x:v>2026-05</x:v>
      </x:c>
      <x:c r="C974" s="15" t="str">
        <x:v>Prendas</x:v>
      </x:c>
      <x:c r="D974" s="15" t="str">
        <x:v>Tienda</x:v>
      </x:c>
      <x:c r="E974" s="15" t="n">
        <x:v>3</x:v>
      </x:c>
      <x:c r="F974" s="15" t="n">
        <x:v>0</x:v>
      </x:c>
      <x:c r="G974" s="19" t="n">
        <x:v>60</x:v>
      </x:c>
      <x:c r="H974" s="19" t="n">
        <x:v>24</x:v>
      </x:c>
      <x:c r="I974" s="17" t="n">
        <x:v>0.1</x:v>
      </x:c>
      <x:c r="J974" s="19" t="n">
        <x:v>2</x:v>
      </x:c>
      <x:c r="K974" s="19" t="n">
        <x:f>E974*G974</x:f>
        <x:v>180</x:v>
      </x:c>
      <x:c r="L974" s="19" t="n">
        <x:f>K974*I974</x:f>
        <x:v>18</x:v>
      </x:c>
      <x:c r="M974" s="19" t="n">
        <x:f>(E974-F974)*G974*(1-I974)</x:f>
        <x:v>162</x:v>
      </x:c>
      <x:c r="N974" s="19" t="n">
        <x:f>(E974-F974)*H974</x:f>
        <x:v>72</x:v>
      </x:c>
      <x:c r="O974" s="19" t="n">
        <x:f>F974*J974</x:f>
        <x:v>0</x:v>
      </x:c>
      <x:c r="P974" s="19" t="n">
        <x:f>M974-N974-O974</x:f>
        <x:v>90</x:v>
      </x:c>
    </x:row>
    <x:row r="975">
      <x:c r="A975" s="15" t="str">
        <x:v>SIM-0971</x:v>
      </x:c>
      <x:c r="B975" s="15" t="str">
        <x:v>2026-05</x:v>
      </x:c>
      <x:c r="C975" s="15" t="str">
        <x:v>Prendas</x:v>
      </x:c>
      <x:c r="D975" s="15" t="str">
        <x:v>Tienda</x:v>
      </x:c>
      <x:c r="E975" s="15" t="n">
        <x:v>3</x:v>
      </x:c>
      <x:c r="F975" s="15" t="n">
        <x:v>0</x:v>
      </x:c>
      <x:c r="G975" s="19" t="n">
        <x:v>60</x:v>
      </x:c>
      <x:c r="H975" s="19" t="n">
        <x:v>24</x:v>
      </x:c>
      <x:c r="I975" s="17" t="n">
        <x:v>0.3</x:v>
      </x:c>
      <x:c r="J975" s="19" t="n">
        <x:v>2</x:v>
      </x:c>
      <x:c r="K975" s="19" t="n">
        <x:f>E975*G975</x:f>
        <x:v>180</x:v>
      </x:c>
      <x:c r="L975" s="19" t="n">
        <x:f>K975*I975</x:f>
        <x:v>54</x:v>
      </x:c>
      <x:c r="M975" s="19" t="n">
        <x:f>(E975-F975)*G975*(1-I975)</x:f>
        <x:v>125.99999999999999</x:v>
      </x:c>
      <x:c r="N975" s="19" t="n">
        <x:f>(E975-F975)*H975</x:f>
        <x:v>72</x:v>
      </x:c>
      <x:c r="O975" s="19" t="n">
        <x:f>F975*J975</x:f>
        <x:v>0</x:v>
      </x:c>
      <x:c r="P975" s="19" t="n">
        <x:f>M975-N975-O975</x:f>
        <x:v>53.999999999999986</x:v>
      </x:c>
    </x:row>
    <x:row r="976">
      <x:c r="A976" s="15" t="str">
        <x:v>SIM-0972</x:v>
      </x:c>
      <x:c r="B976" s="15" t="str">
        <x:v>2026-05</x:v>
      </x:c>
      <x:c r="C976" s="15" t="str">
        <x:v>Prendas</x:v>
      </x:c>
      <x:c r="D976" s="15" t="str">
        <x:v>Tienda</x:v>
      </x:c>
      <x:c r="E976" s="15" t="n">
        <x:v>2</x:v>
      </x:c>
      <x:c r="F976" s="15" t="n">
        <x:v>0</x:v>
      </x:c>
      <x:c r="G976" s="19" t="n">
        <x:v>60</x:v>
      </x:c>
      <x:c r="H976" s="19" t="n">
        <x:v>24</x:v>
      </x:c>
      <x:c r="I976" s="17" t="n">
        <x:v>0.2</x:v>
      </x:c>
      <x:c r="J976" s="19" t="n">
        <x:v>2</x:v>
      </x:c>
      <x:c r="K976" s="19" t="n">
        <x:f>E976*G976</x:f>
        <x:v>120</x:v>
      </x:c>
      <x:c r="L976" s="19" t="n">
        <x:f>K976*I976</x:f>
        <x:v>24</x:v>
      </x:c>
      <x:c r="M976" s="19" t="n">
        <x:f>(E976-F976)*G976*(1-I976)</x:f>
        <x:v>96</x:v>
      </x:c>
      <x:c r="N976" s="19" t="n">
        <x:f>(E976-F976)*H976</x:f>
        <x:v>48</x:v>
      </x:c>
      <x:c r="O976" s="19" t="n">
        <x:f>F976*J976</x:f>
        <x:v>0</x:v>
      </x:c>
      <x:c r="P976" s="19" t="n">
        <x:f>M976-N976-O976</x:f>
        <x:v>48</x:v>
      </x:c>
    </x:row>
    <x:row r="977">
      <x:c r="A977" s="15" t="str">
        <x:v>SIM-0973</x:v>
      </x:c>
      <x:c r="B977" s="15" t="str">
        <x:v>2026-05</x:v>
      </x:c>
      <x:c r="C977" s="15" t="str">
        <x:v>Prendas</x:v>
      </x:c>
      <x:c r="D977" s="15" t="str">
        <x:v>Tienda</x:v>
      </x:c>
      <x:c r="E977" s="15" t="n">
        <x:v>3</x:v>
      </x:c>
      <x:c r="F977" s="15" t="n">
        <x:v>1</x:v>
      </x:c>
      <x:c r="G977" s="19" t="n">
        <x:v>60</x:v>
      </x:c>
      <x:c r="H977" s="19" t="n">
        <x:v>24</x:v>
      </x:c>
      <x:c r="I977" s="17" t="n">
        <x:v>0.1</x:v>
      </x:c>
      <x:c r="J977" s="19" t="n">
        <x:v>2</x:v>
      </x:c>
      <x:c r="K977" s="19" t="n">
        <x:f>E977*G977</x:f>
        <x:v>180</x:v>
      </x:c>
      <x:c r="L977" s="19" t="n">
        <x:f>K977*I977</x:f>
        <x:v>18</x:v>
      </x:c>
      <x:c r="M977" s="19" t="n">
        <x:f>(E977-F977)*G977*(1-I977)</x:f>
        <x:v>108</x:v>
      </x:c>
      <x:c r="N977" s="19" t="n">
        <x:f>(E977-F977)*H977</x:f>
        <x:v>48</x:v>
      </x:c>
      <x:c r="O977" s="19" t="n">
        <x:f>F977*J977</x:f>
        <x:v>2</x:v>
      </x:c>
      <x:c r="P977" s="19" t="n">
        <x:f>M977-N977-O977</x:f>
        <x:v>58</x:v>
      </x:c>
    </x:row>
    <x:row r="978">
      <x:c r="A978" s="15" t="str">
        <x:v>SIM-0974</x:v>
      </x:c>
      <x:c r="B978" s="15" t="str">
        <x:v>2026-05</x:v>
      </x:c>
      <x:c r="C978" s="15" t="str">
        <x:v>Prendas</x:v>
      </x:c>
      <x:c r="D978" s="15" t="str">
        <x:v>Online</x:v>
      </x:c>
      <x:c r="E978" s="15" t="n">
        <x:v>1</x:v>
      </x:c>
      <x:c r="F978" s="15" t="n">
        <x:v>1</x:v>
      </x:c>
      <x:c r="G978" s="19" t="n">
        <x:v>60</x:v>
      </x:c>
      <x:c r="H978" s="19" t="n">
        <x:v>24</x:v>
      </x:c>
      <x:c r="I978" s="17" t="n">
        <x:v>0.1</x:v>
      </x:c>
      <x:c r="J978" s="19" t="n">
        <x:v>6</x:v>
      </x:c>
      <x:c r="K978" s="19" t="n">
        <x:f>E978*G978</x:f>
        <x:v>60</x:v>
      </x:c>
      <x:c r="L978" s="19" t="n">
        <x:f>K978*I978</x:f>
        <x:v>6</x:v>
      </x:c>
      <x:c r="M978" s="19" t="n">
        <x:f>(E978-F978)*G978*(1-I978)</x:f>
        <x:v>0</x:v>
      </x:c>
      <x:c r="N978" s="19" t="n">
        <x:f>(E978-F978)*H978</x:f>
        <x:v>0</x:v>
      </x:c>
      <x:c r="O978" s="19" t="n">
        <x:f>F978*J978</x:f>
        <x:v>6</x:v>
      </x:c>
      <x:c r="P978" s="19" t="n">
        <x:f>M978-N978-O978</x:f>
        <x:v>-6</x:v>
      </x:c>
    </x:row>
    <x:row r="979">
      <x:c r="A979" s="15" t="str">
        <x:v>SIM-0975</x:v>
      </x:c>
      <x:c r="B979" s="15" t="str">
        <x:v>2026-05</x:v>
      </x:c>
      <x:c r="C979" s="15" t="str">
        <x:v>Calzado</x:v>
      </x:c>
      <x:c r="D979" s="15" t="str">
        <x:v>Tienda</x:v>
      </x:c>
      <x:c r="E979" s="15" t="n">
        <x:v>1</x:v>
      </x:c>
      <x:c r="F979" s="15" t="n">
        <x:v>0</x:v>
      </x:c>
      <x:c r="G979" s="19" t="n">
        <x:v>90</x:v>
      </x:c>
      <x:c r="H979" s="19" t="n">
        <x:v>42</x:v>
      </x:c>
      <x:c r="I979" s="17" t="n">
        <x:v>0.2</x:v>
      </x:c>
      <x:c r="J979" s="19" t="n">
        <x:v>2</x:v>
      </x:c>
      <x:c r="K979" s="19" t="n">
        <x:f>E979*G979</x:f>
        <x:v>90</x:v>
      </x:c>
      <x:c r="L979" s="19" t="n">
        <x:f>K979*I979</x:f>
        <x:v>18</x:v>
      </x:c>
      <x:c r="M979" s="19" t="n">
        <x:f>(E979-F979)*G979*(1-I979)</x:f>
        <x:v>72</x:v>
      </x:c>
      <x:c r="N979" s="19" t="n">
        <x:f>(E979-F979)*H979</x:f>
        <x:v>42</x:v>
      </x:c>
      <x:c r="O979" s="19" t="n">
        <x:f>F979*J979</x:f>
        <x:v>0</x:v>
      </x:c>
      <x:c r="P979" s="19" t="n">
        <x:f>M979-N979-O979</x:f>
        <x:v>30</x:v>
      </x:c>
    </x:row>
    <x:row r="980">
      <x:c r="A980" s="15" t="str">
        <x:v>SIM-0976</x:v>
      </x:c>
      <x:c r="B980" s="15" t="str">
        <x:v>2026-05</x:v>
      </x:c>
      <x:c r="C980" s="15" t="str">
        <x:v>Calzado</x:v>
      </x:c>
      <x:c r="D980" s="15" t="str">
        <x:v>Online</x:v>
      </x:c>
      <x:c r="E980" s="15" t="n">
        <x:v>1</x:v>
      </x:c>
      <x:c r="F980" s="15" t="n">
        <x:v>0</x:v>
      </x:c>
      <x:c r="G980" s="19" t="n">
        <x:v>90</x:v>
      </x:c>
      <x:c r="H980" s="19" t="n">
        <x:v>42</x:v>
      </x:c>
      <x:c r="I980" s="17" t="n">
        <x:v>0.1</x:v>
      </x:c>
      <x:c r="J980" s="19" t="n">
        <x:v>6</x:v>
      </x:c>
      <x:c r="K980" s="19" t="n">
        <x:f>E980*G980</x:f>
        <x:v>90</x:v>
      </x:c>
      <x:c r="L980" s="19" t="n">
        <x:f>K980*I980</x:f>
        <x:v>9</x:v>
      </x:c>
      <x:c r="M980" s="19" t="n">
        <x:f>(E980-F980)*G980*(1-I980)</x:f>
        <x:v>81</x:v>
      </x:c>
      <x:c r="N980" s="19" t="n">
        <x:f>(E980-F980)*H980</x:f>
        <x:v>42</x:v>
      </x:c>
      <x:c r="O980" s="19" t="n">
        <x:f>F980*J980</x:f>
        <x:v>0</x:v>
      </x:c>
      <x:c r="P980" s="19" t="n">
        <x:f>M980-N980-O980</x:f>
        <x:v>39</x:v>
      </x:c>
    </x:row>
    <x:row r="981">
      <x:c r="A981" s="15" t="str">
        <x:v>SIM-0977</x:v>
      </x:c>
      <x:c r="B981" s="15" t="str">
        <x:v>2026-05</x:v>
      </x:c>
      <x:c r="C981" s="15" t="str">
        <x:v>Prendas</x:v>
      </x:c>
      <x:c r="D981" s="15" t="str">
        <x:v>Online</x:v>
      </x:c>
      <x:c r="E981" s="15" t="n">
        <x:v>1</x:v>
      </x:c>
      <x:c r="F981" s="15" t="n">
        <x:v>0</x:v>
      </x:c>
      <x:c r="G981" s="19" t="n">
        <x:v>60</x:v>
      </x:c>
      <x:c r="H981" s="19" t="n">
        <x:v>24</x:v>
      </x:c>
      <x:c r="I981" s="17" t="n">
        <x:v>0.2</x:v>
      </x:c>
      <x:c r="J981" s="19" t="n">
        <x:v>6</x:v>
      </x:c>
      <x:c r="K981" s="19" t="n">
        <x:f>E981*G981</x:f>
        <x:v>60</x:v>
      </x:c>
      <x:c r="L981" s="19" t="n">
        <x:f>K981*I981</x:f>
        <x:v>12</x:v>
      </x:c>
      <x:c r="M981" s="19" t="n">
        <x:f>(E981-F981)*G981*(1-I981)</x:f>
        <x:v>48</x:v>
      </x:c>
      <x:c r="N981" s="19" t="n">
        <x:f>(E981-F981)*H981</x:f>
        <x:v>24</x:v>
      </x:c>
      <x:c r="O981" s="19" t="n">
        <x:f>F981*J981</x:f>
        <x:v>0</x:v>
      </x:c>
      <x:c r="P981" s="19" t="n">
        <x:f>M981-N981-O981</x:f>
        <x:v>24</x:v>
      </x:c>
    </x:row>
    <x:row r="982">
      <x:c r="A982" s="15" t="str">
        <x:v>SIM-0978</x:v>
      </x:c>
      <x:c r="B982" s="15" t="str">
        <x:v>2026-05</x:v>
      </x:c>
      <x:c r="C982" s="15" t="str">
        <x:v>Calzado</x:v>
      </x:c>
      <x:c r="D982" s="15" t="str">
        <x:v>Tienda</x:v>
      </x:c>
      <x:c r="E982" s="15" t="n">
        <x:v>2</x:v>
      </x:c>
      <x:c r="F982" s="15" t="n">
        <x:v>0</x:v>
      </x:c>
      <x:c r="G982" s="19" t="n">
        <x:v>90</x:v>
      </x:c>
      <x:c r="H982" s="19" t="n">
        <x:v>42</x:v>
      </x:c>
      <x:c r="I982" s="17" t="n">
        <x:v>0.3</x:v>
      </x:c>
      <x:c r="J982" s="19" t="n">
        <x:v>2</x:v>
      </x:c>
      <x:c r="K982" s="19" t="n">
        <x:f>E982*G982</x:f>
        <x:v>180</x:v>
      </x:c>
      <x:c r="L982" s="19" t="n">
        <x:f>K982*I982</x:f>
        <x:v>54</x:v>
      </x:c>
      <x:c r="M982" s="19" t="n">
        <x:f>(E982-F982)*G982*(1-I982)</x:f>
        <x:v>125.99999999999999</x:v>
      </x:c>
      <x:c r="N982" s="19" t="n">
        <x:f>(E982-F982)*H982</x:f>
        <x:v>84</x:v>
      </x:c>
      <x:c r="O982" s="19" t="n">
        <x:f>F982*J982</x:f>
        <x:v>0</x:v>
      </x:c>
      <x:c r="P982" s="19" t="n">
        <x:f>M982-N982-O982</x:f>
        <x:v>41.999999999999986</x:v>
      </x:c>
    </x:row>
    <x:row r="983">
      <x:c r="A983" s="15" t="str">
        <x:v>SIM-0979</x:v>
      </x:c>
      <x:c r="B983" s="15" t="str">
        <x:v>2026-05</x:v>
      </x:c>
      <x:c r="C983" s="15" t="str">
        <x:v>Prendas</x:v>
      </x:c>
      <x:c r="D983" s="15" t="str">
        <x:v>Online</x:v>
      </x:c>
      <x:c r="E983" s="15" t="n">
        <x:v>1</x:v>
      </x:c>
      <x:c r="F983" s="15" t="n">
        <x:v>0</x:v>
      </x:c>
      <x:c r="G983" s="19" t="n">
        <x:v>60</x:v>
      </x:c>
      <x:c r="H983" s="19" t="n">
        <x:v>24</x:v>
      </x:c>
      <x:c r="I983" s="17" t="n">
        <x:v>0.1</x:v>
      </x:c>
      <x:c r="J983" s="19" t="n">
        <x:v>6</x:v>
      </x:c>
      <x:c r="K983" s="19" t="n">
        <x:f>E983*G983</x:f>
        <x:v>60</x:v>
      </x:c>
      <x:c r="L983" s="19" t="n">
        <x:f>K983*I983</x:f>
        <x:v>6</x:v>
      </x:c>
      <x:c r="M983" s="19" t="n">
        <x:f>(E983-F983)*G983*(1-I983)</x:f>
        <x:v>54</x:v>
      </x:c>
      <x:c r="N983" s="19" t="n">
        <x:f>(E983-F983)*H983</x:f>
        <x:v>24</x:v>
      </x:c>
      <x:c r="O983" s="19" t="n">
        <x:f>F983*J983</x:f>
        <x:v>0</x:v>
      </x:c>
      <x:c r="P983" s="19" t="n">
        <x:f>M983-N983-O983</x:f>
        <x:v>30</x:v>
      </x:c>
    </x:row>
    <x:row r="984">
      <x:c r="A984" s="15" t="str">
        <x:v>SIM-0980</x:v>
      </x:c>
      <x:c r="B984" s="15" t="str">
        <x:v>2026-05</x:v>
      </x:c>
      <x:c r="C984" s="15" t="str">
        <x:v>Prendas</x:v>
      </x:c>
      <x:c r="D984" s="15" t="str">
        <x:v>Tienda</x:v>
      </x:c>
      <x:c r="E984" s="15" t="n">
        <x:v>1</x:v>
      </x:c>
      <x:c r="F984" s="15" t="n">
        <x:v>0</x:v>
      </x:c>
      <x:c r="G984" s="19" t="n">
        <x:v>60</x:v>
      </x:c>
      <x:c r="H984" s="19" t="n">
        <x:v>24</x:v>
      </x:c>
      <x:c r="I984" s="17" t="n">
        <x:v>0</x:v>
      </x:c>
      <x:c r="J984" s="19" t="n">
        <x:v>2</x:v>
      </x:c>
      <x:c r="K984" s="19" t="n">
        <x:f>E984*G984</x:f>
        <x:v>60</x:v>
      </x:c>
      <x:c r="L984" s="19" t="n">
        <x:f>K984*I984</x:f>
        <x:v>0</x:v>
      </x:c>
      <x:c r="M984" s="19" t="n">
        <x:f>(E984-F984)*G984*(1-I984)</x:f>
        <x:v>60</x:v>
      </x:c>
      <x:c r="N984" s="19" t="n">
        <x:f>(E984-F984)*H984</x:f>
        <x:v>24</x:v>
      </x:c>
      <x:c r="O984" s="19" t="n">
        <x:f>F984*J984</x:f>
        <x:v>0</x:v>
      </x:c>
      <x:c r="P984" s="19" t="n">
        <x:f>M984-N984-O984</x:f>
        <x:v>36</x:v>
      </x:c>
    </x:row>
    <x:row r="985">
      <x:c r="A985" s="15" t="str">
        <x:v>SIM-0981</x:v>
      </x:c>
      <x:c r="B985" s="15" t="str">
        <x:v>2026-05</x:v>
      </x:c>
      <x:c r="C985" s="15" t="str">
        <x:v>Accesorios</x:v>
      </x:c>
      <x:c r="D985" s="15" t="str">
        <x:v>Tienda</x:v>
      </x:c>
      <x:c r="E985" s="15" t="n">
        <x:v>1</x:v>
      </x:c>
      <x:c r="F985" s="15" t="n">
        <x:v>0</x:v>
      </x:c>
      <x:c r="G985" s="19" t="n">
        <x:v>30</x:v>
      </x:c>
      <x:c r="H985" s="19" t="n">
        <x:v>9</x:v>
      </x:c>
      <x:c r="I985" s="17" t="n">
        <x:v>0.2</x:v>
      </x:c>
      <x:c r="J985" s="19" t="n">
        <x:v>2</x:v>
      </x:c>
      <x:c r="K985" s="19" t="n">
        <x:f>E985*G985</x:f>
        <x:v>30</x:v>
      </x:c>
      <x:c r="L985" s="19" t="n">
        <x:f>K985*I985</x:f>
        <x:v>6</x:v>
      </x:c>
      <x:c r="M985" s="19" t="n">
        <x:f>(E985-F985)*G985*(1-I985)</x:f>
        <x:v>24</x:v>
      </x:c>
      <x:c r="N985" s="19" t="n">
        <x:f>(E985-F985)*H985</x:f>
        <x:v>9</x:v>
      </x:c>
      <x:c r="O985" s="19" t="n">
        <x:f>F985*J985</x:f>
        <x:v>0</x:v>
      </x:c>
      <x:c r="P985" s="19" t="n">
        <x:f>M985-N985-O985</x:f>
        <x:v>15</x:v>
      </x:c>
    </x:row>
    <x:row r="986">
      <x:c r="A986" s="15" t="str">
        <x:v>SIM-0982</x:v>
      </x:c>
      <x:c r="B986" s="15" t="str">
        <x:v>2026-05</x:v>
      </x:c>
      <x:c r="C986" s="15" t="str">
        <x:v>Calzado</x:v>
      </x:c>
      <x:c r="D986" s="15" t="str">
        <x:v>Online</x:v>
      </x:c>
      <x:c r="E986" s="15" t="n">
        <x:v>1</x:v>
      </x:c>
      <x:c r="F986" s="15" t="n">
        <x:v>0</x:v>
      </x:c>
      <x:c r="G986" s="19" t="n">
        <x:v>90</x:v>
      </x:c>
      <x:c r="H986" s="19" t="n">
        <x:v>42</x:v>
      </x:c>
      <x:c r="I986" s="17" t="n">
        <x:v>0.3</x:v>
      </x:c>
      <x:c r="J986" s="19" t="n">
        <x:v>6</x:v>
      </x:c>
      <x:c r="K986" s="19" t="n">
        <x:f>E986*G986</x:f>
        <x:v>90</x:v>
      </x:c>
      <x:c r="L986" s="19" t="n">
        <x:f>K986*I986</x:f>
        <x:v>27</x:v>
      </x:c>
      <x:c r="M986" s="19" t="n">
        <x:f>(E986-F986)*G986*(1-I986)</x:f>
        <x:v>62.99999999999999</x:v>
      </x:c>
      <x:c r="N986" s="19" t="n">
        <x:f>(E986-F986)*H986</x:f>
        <x:v>42</x:v>
      </x:c>
      <x:c r="O986" s="19" t="n">
        <x:f>F986*J986</x:f>
        <x:v>0</x:v>
      </x:c>
      <x:c r="P986" s="19" t="n">
        <x:f>M986-N986-O986</x:f>
        <x:v>20.999999999999993</x:v>
      </x:c>
    </x:row>
    <x:row r="987">
      <x:c r="A987" s="15" t="str">
        <x:v>SIM-0983</x:v>
      </x:c>
      <x:c r="B987" s="15" t="str">
        <x:v>2026-05</x:v>
      </x:c>
      <x:c r="C987" s="15" t="str">
        <x:v>Prendas</x:v>
      </x:c>
      <x:c r="D987" s="15" t="str">
        <x:v>Online</x:v>
      </x:c>
      <x:c r="E987" s="15" t="n">
        <x:v>1</x:v>
      </x:c>
      <x:c r="F987" s="15" t="n">
        <x:v>0</x:v>
      </x:c>
      <x:c r="G987" s="19" t="n">
        <x:v>60</x:v>
      </x:c>
      <x:c r="H987" s="19" t="n">
        <x:v>24</x:v>
      </x:c>
      <x:c r="I987" s="17" t="n">
        <x:v>0.1</x:v>
      </x:c>
      <x:c r="J987" s="19" t="n">
        <x:v>6</x:v>
      </x:c>
      <x:c r="K987" s="19" t="n">
        <x:f>E987*G987</x:f>
        <x:v>60</x:v>
      </x:c>
      <x:c r="L987" s="19" t="n">
        <x:f>K987*I987</x:f>
        <x:v>6</x:v>
      </x:c>
      <x:c r="M987" s="19" t="n">
        <x:f>(E987-F987)*G987*(1-I987)</x:f>
        <x:v>54</x:v>
      </x:c>
      <x:c r="N987" s="19" t="n">
        <x:f>(E987-F987)*H987</x:f>
        <x:v>24</x:v>
      </x:c>
      <x:c r="O987" s="19" t="n">
        <x:f>F987*J987</x:f>
        <x:v>0</x:v>
      </x:c>
      <x:c r="P987" s="19" t="n">
        <x:f>M987-N987-O987</x:f>
        <x:v>30</x:v>
      </x:c>
    </x:row>
    <x:row r="988">
      <x:c r="A988" s="15" t="str">
        <x:v>SIM-0984</x:v>
      </x:c>
      <x:c r="B988" s="15" t="str">
        <x:v>2026-05</x:v>
      </x:c>
      <x:c r="C988" s="15" t="str">
        <x:v>Calzado</x:v>
      </x:c>
      <x:c r="D988" s="15" t="str">
        <x:v>Tienda</x:v>
      </x:c>
      <x:c r="E988" s="15" t="n">
        <x:v>1</x:v>
      </x:c>
      <x:c r="F988" s="15" t="n">
        <x:v>0</x:v>
      </x:c>
      <x:c r="G988" s="19" t="n">
        <x:v>90</x:v>
      </x:c>
      <x:c r="H988" s="19" t="n">
        <x:v>42</x:v>
      </x:c>
      <x:c r="I988" s="17" t="n">
        <x:v>0.1</x:v>
      </x:c>
      <x:c r="J988" s="19" t="n">
        <x:v>2</x:v>
      </x:c>
      <x:c r="K988" s="19" t="n">
        <x:f>E988*G988</x:f>
        <x:v>90</x:v>
      </x:c>
      <x:c r="L988" s="19" t="n">
        <x:f>K988*I988</x:f>
        <x:v>9</x:v>
      </x:c>
      <x:c r="M988" s="19" t="n">
        <x:f>(E988-F988)*G988*(1-I988)</x:f>
        <x:v>81</x:v>
      </x:c>
      <x:c r="N988" s="19" t="n">
        <x:f>(E988-F988)*H988</x:f>
        <x:v>42</x:v>
      </x:c>
      <x:c r="O988" s="19" t="n">
        <x:f>F988*J988</x:f>
        <x:v>0</x:v>
      </x:c>
      <x:c r="P988" s="19" t="n">
        <x:f>M988-N988-O988</x:f>
        <x:v>39</x:v>
      </x:c>
    </x:row>
    <x:row r="989">
      <x:c r="A989" s="15" t="str">
        <x:v>SIM-0985</x:v>
      </x:c>
      <x:c r="B989" s="15" t="str">
        <x:v>2026-05</x:v>
      </x:c>
      <x:c r="C989" s="15" t="str">
        <x:v>Prendas</x:v>
      </x:c>
      <x:c r="D989" s="15" t="str">
        <x:v>Online</x:v>
      </x:c>
      <x:c r="E989" s="15" t="n">
        <x:v>1</x:v>
      </x:c>
      <x:c r="F989" s="15" t="n">
        <x:v>0</x:v>
      </x:c>
      <x:c r="G989" s="19" t="n">
        <x:v>60</x:v>
      </x:c>
      <x:c r="H989" s="19" t="n">
        <x:v>24</x:v>
      </x:c>
      <x:c r="I989" s="17" t="n">
        <x:v>0.1</x:v>
      </x:c>
      <x:c r="J989" s="19" t="n">
        <x:v>6</x:v>
      </x:c>
      <x:c r="K989" s="19" t="n">
        <x:f>E989*G989</x:f>
        <x:v>60</x:v>
      </x:c>
      <x:c r="L989" s="19" t="n">
        <x:f>K989*I989</x:f>
        <x:v>6</x:v>
      </x:c>
      <x:c r="M989" s="19" t="n">
        <x:f>(E989-F989)*G989*(1-I989)</x:f>
        <x:v>54</x:v>
      </x:c>
      <x:c r="N989" s="19" t="n">
        <x:f>(E989-F989)*H989</x:f>
        <x:v>24</x:v>
      </x:c>
      <x:c r="O989" s="19" t="n">
        <x:f>F989*J989</x:f>
        <x:v>0</x:v>
      </x:c>
      <x:c r="P989" s="19" t="n">
        <x:f>M989-N989-O989</x:f>
        <x:v>30</x:v>
      </x:c>
    </x:row>
    <x:row r="990">
      <x:c r="A990" s="15" t="str">
        <x:v>SIM-0986</x:v>
      </x:c>
      <x:c r="B990" s="15" t="str">
        <x:v>2026-05</x:v>
      </x:c>
      <x:c r="C990" s="15" t="str">
        <x:v>Prendas</x:v>
      </x:c>
      <x:c r="D990" s="15" t="str">
        <x:v>Tienda</x:v>
      </x:c>
      <x:c r="E990" s="15" t="n">
        <x:v>1</x:v>
      </x:c>
      <x:c r="F990" s="15" t="n">
        <x:v>0</x:v>
      </x:c>
      <x:c r="G990" s="19" t="n">
        <x:v>60</x:v>
      </x:c>
      <x:c r="H990" s="19" t="n">
        <x:v>24</x:v>
      </x:c>
      <x:c r="I990" s="17" t="n">
        <x:v>0.1</x:v>
      </x:c>
      <x:c r="J990" s="19" t="n">
        <x:v>2</x:v>
      </x:c>
      <x:c r="K990" s="19" t="n">
        <x:f>E990*G990</x:f>
        <x:v>60</x:v>
      </x:c>
      <x:c r="L990" s="19" t="n">
        <x:f>K990*I990</x:f>
        <x:v>6</x:v>
      </x:c>
      <x:c r="M990" s="19" t="n">
        <x:f>(E990-F990)*G990*(1-I990)</x:f>
        <x:v>54</x:v>
      </x:c>
      <x:c r="N990" s="19" t="n">
        <x:f>(E990-F990)*H990</x:f>
        <x:v>24</x:v>
      </x:c>
      <x:c r="O990" s="19" t="n">
        <x:f>F990*J990</x:f>
        <x:v>0</x:v>
      </x:c>
      <x:c r="P990" s="19" t="n">
        <x:f>M990-N990-O990</x:f>
        <x:v>30</x:v>
      </x:c>
    </x:row>
    <x:row r="991">
      <x:c r="A991" s="15" t="str">
        <x:v>SIM-0987</x:v>
      </x:c>
      <x:c r="B991" s="15" t="str">
        <x:v>2026-05</x:v>
      </x:c>
      <x:c r="C991" s="15" t="str">
        <x:v>Prendas</x:v>
      </x:c>
      <x:c r="D991" s="15" t="str">
        <x:v>Tienda</x:v>
      </x:c>
      <x:c r="E991" s="15" t="n">
        <x:v>1</x:v>
      </x:c>
      <x:c r="F991" s="15" t="n">
        <x:v>0</x:v>
      </x:c>
      <x:c r="G991" s="19" t="n">
        <x:v>60</x:v>
      </x:c>
      <x:c r="H991" s="19" t="n">
        <x:v>24</x:v>
      </x:c>
      <x:c r="I991" s="17" t="n">
        <x:v>0.1</x:v>
      </x:c>
      <x:c r="J991" s="19" t="n">
        <x:v>2</x:v>
      </x:c>
      <x:c r="K991" s="19" t="n">
        <x:f>E991*G991</x:f>
        <x:v>60</x:v>
      </x:c>
      <x:c r="L991" s="19" t="n">
        <x:f>K991*I991</x:f>
        <x:v>6</x:v>
      </x:c>
      <x:c r="M991" s="19" t="n">
        <x:f>(E991-F991)*G991*(1-I991)</x:f>
        <x:v>54</x:v>
      </x:c>
      <x:c r="N991" s="19" t="n">
        <x:f>(E991-F991)*H991</x:f>
        <x:v>24</x:v>
      </x:c>
      <x:c r="O991" s="19" t="n">
        <x:f>F991*J991</x:f>
        <x:v>0</x:v>
      </x:c>
      <x:c r="P991" s="19" t="n">
        <x:f>M991-N991-O991</x:f>
        <x:v>30</x:v>
      </x:c>
    </x:row>
    <x:row r="992">
      <x:c r="A992" s="15" t="str">
        <x:v>SIM-0988</x:v>
      </x:c>
      <x:c r="B992" s="15" t="str">
        <x:v>2026-05</x:v>
      </x:c>
      <x:c r="C992" s="15" t="str">
        <x:v>Calzado</x:v>
      </x:c>
      <x:c r="D992" s="15" t="str">
        <x:v>Tienda</x:v>
      </x:c>
      <x:c r="E992" s="15" t="n">
        <x:v>1</x:v>
      </x:c>
      <x:c r="F992" s="15" t="n">
        <x:v>0</x:v>
      </x:c>
      <x:c r="G992" s="19" t="n">
        <x:v>90</x:v>
      </x:c>
      <x:c r="H992" s="19" t="n">
        <x:v>42</x:v>
      </x:c>
      <x:c r="I992" s="17" t="n">
        <x:v>0.1</x:v>
      </x:c>
      <x:c r="J992" s="19" t="n">
        <x:v>2</x:v>
      </x:c>
      <x:c r="K992" s="19" t="n">
        <x:f>E992*G992</x:f>
        <x:v>90</x:v>
      </x:c>
      <x:c r="L992" s="19" t="n">
        <x:f>K992*I992</x:f>
        <x:v>9</x:v>
      </x:c>
      <x:c r="M992" s="19" t="n">
        <x:f>(E992-F992)*G992*(1-I992)</x:f>
        <x:v>81</x:v>
      </x:c>
      <x:c r="N992" s="19" t="n">
        <x:f>(E992-F992)*H992</x:f>
        <x:v>42</x:v>
      </x:c>
      <x:c r="O992" s="19" t="n">
        <x:f>F992*J992</x:f>
        <x:v>0</x:v>
      </x:c>
      <x:c r="P992" s="19" t="n">
        <x:f>M992-N992-O992</x:f>
        <x:v>39</x:v>
      </x:c>
    </x:row>
    <x:row r="993">
      <x:c r="A993" s="15" t="str">
        <x:v>SIM-0989</x:v>
      </x:c>
      <x:c r="B993" s="15" t="str">
        <x:v>2026-05</x:v>
      </x:c>
      <x:c r="C993" s="15" t="str">
        <x:v>Prendas</x:v>
      </x:c>
      <x:c r="D993" s="15" t="str">
        <x:v>Online</x:v>
      </x:c>
      <x:c r="E993" s="15" t="n">
        <x:v>1</x:v>
      </x:c>
      <x:c r="F993" s="15" t="n">
        <x:v>0</x:v>
      </x:c>
      <x:c r="G993" s="19" t="n">
        <x:v>60</x:v>
      </x:c>
      <x:c r="H993" s="19" t="n">
        <x:v>24</x:v>
      </x:c>
      <x:c r="I993" s="17" t="n">
        <x:v>0.3</x:v>
      </x:c>
      <x:c r="J993" s="19" t="n">
        <x:v>6</x:v>
      </x:c>
      <x:c r="K993" s="19" t="n">
        <x:f>E993*G993</x:f>
        <x:v>60</x:v>
      </x:c>
      <x:c r="L993" s="19" t="n">
        <x:f>K993*I993</x:f>
        <x:v>18</x:v>
      </x:c>
      <x:c r="M993" s="19" t="n">
        <x:f>(E993-F993)*G993*(1-I993)</x:f>
        <x:v>42</x:v>
      </x:c>
      <x:c r="N993" s="19" t="n">
        <x:f>(E993-F993)*H993</x:f>
        <x:v>24</x:v>
      </x:c>
      <x:c r="O993" s="19" t="n">
        <x:f>F993*J993</x:f>
        <x:v>0</x:v>
      </x:c>
      <x:c r="P993" s="19" t="n">
        <x:f>M993-N993-O993</x:f>
        <x:v>18</x:v>
      </x:c>
    </x:row>
    <x:row r="994">
      <x:c r="A994" s="15" t="str">
        <x:v>SIM-0990</x:v>
      </x:c>
      <x:c r="B994" s="15" t="str">
        <x:v>2026-05</x:v>
      </x:c>
      <x:c r="C994" s="15" t="str">
        <x:v>Calzado</x:v>
      </x:c>
      <x:c r="D994" s="15" t="str">
        <x:v>Online</x:v>
      </x:c>
      <x:c r="E994" s="15" t="n">
        <x:v>1</x:v>
      </x:c>
      <x:c r="F994" s="15" t="n">
        <x:v>0</x:v>
      </x:c>
      <x:c r="G994" s="19" t="n">
        <x:v>90</x:v>
      </x:c>
      <x:c r="H994" s="19" t="n">
        <x:v>42</x:v>
      </x:c>
      <x:c r="I994" s="17" t="n">
        <x:v>0.1</x:v>
      </x:c>
      <x:c r="J994" s="19" t="n">
        <x:v>6</x:v>
      </x:c>
      <x:c r="K994" s="19" t="n">
        <x:f>E994*G994</x:f>
        <x:v>90</x:v>
      </x:c>
      <x:c r="L994" s="19" t="n">
        <x:f>K994*I994</x:f>
        <x:v>9</x:v>
      </x:c>
      <x:c r="M994" s="19" t="n">
        <x:f>(E994-F994)*G994*(1-I994)</x:f>
        <x:v>81</x:v>
      </x:c>
      <x:c r="N994" s="19" t="n">
        <x:f>(E994-F994)*H994</x:f>
        <x:v>42</x:v>
      </x:c>
      <x:c r="O994" s="19" t="n">
        <x:f>F994*J994</x:f>
        <x:v>0</x:v>
      </x:c>
      <x:c r="P994" s="19" t="n">
        <x:f>M994-N994-O994</x:f>
        <x:v>39</x:v>
      </x:c>
    </x:row>
    <x:row r="995">
      <x:c r="A995" s="15" t="str">
        <x:v>SIM-0991</x:v>
      </x:c>
      <x:c r="B995" s="15" t="str">
        <x:v>2026-05</x:v>
      </x:c>
      <x:c r="C995" s="15" t="str">
        <x:v>Prendas</x:v>
      </x:c>
      <x:c r="D995" s="15" t="str">
        <x:v>Tienda</x:v>
      </x:c>
      <x:c r="E995" s="15" t="n">
        <x:v>3</x:v>
      </x:c>
      <x:c r="F995" s="15" t="n">
        <x:v>0</x:v>
      </x:c>
      <x:c r="G995" s="19" t="n">
        <x:v>60</x:v>
      </x:c>
      <x:c r="H995" s="19" t="n">
        <x:v>24</x:v>
      </x:c>
      <x:c r="I995" s="17" t="n">
        <x:v>0.3</x:v>
      </x:c>
      <x:c r="J995" s="19" t="n">
        <x:v>2</x:v>
      </x:c>
      <x:c r="K995" s="19" t="n">
        <x:f>E995*G995</x:f>
        <x:v>180</x:v>
      </x:c>
      <x:c r="L995" s="19" t="n">
        <x:f>K995*I995</x:f>
        <x:v>54</x:v>
      </x:c>
      <x:c r="M995" s="19" t="n">
        <x:f>(E995-F995)*G995*(1-I995)</x:f>
        <x:v>125.99999999999999</x:v>
      </x:c>
      <x:c r="N995" s="19" t="n">
        <x:f>(E995-F995)*H995</x:f>
        <x:v>72</x:v>
      </x:c>
      <x:c r="O995" s="19" t="n">
        <x:f>F995*J995</x:f>
        <x:v>0</x:v>
      </x:c>
      <x:c r="P995" s="19" t="n">
        <x:f>M995-N995-O995</x:f>
        <x:v>53.999999999999986</x:v>
      </x:c>
    </x:row>
    <x:row r="996">
      <x:c r="A996" s="15" t="str">
        <x:v>SIM-0992</x:v>
      </x:c>
      <x:c r="B996" s="15" t="str">
        <x:v>2026-05</x:v>
      </x:c>
      <x:c r="C996" s="15" t="str">
        <x:v>Calzado</x:v>
      </x:c>
      <x:c r="D996" s="15" t="str">
        <x:v>Tienda</x:v>
      </x:c>
      <x:c r="E996" s="15" t="n">
        <x:v>2</x:v>
      </x:c>
      <x:c r="F996" s="15" t="n">
        <x:v>0</x:v>
      </x:c>
      <x:c r="G996" s="19" t="n">
        <x:v>90</x:v>
      </x:c>
      <x:c r="H996" s="19" t="n">
        <x:v>42</x:v>
      </x:c>
      <x:c r="I996" s="17" t="n">
        <x:v>0</x:v>
      </x:c>
      <x:c r="J996" s="19" t="n">
        <x:v>2</x:v>
      </x:c>
      <x:c r="K996" s="19" t="n">
        <x:f>E996*G996</x:f>
        <x:v>180</x:v>
      </x:c>
      <x:c r="L996" s="19" t="n">
        <x:f>K996*I996</x:f>
        <x:v>0</x:v>
      </x:c>
      <x:c r="M996" s="19" t="n">
        <x:f>(E996-F996)*G996*(1-I996)</x:f>
        <x:v>180</x:v>
      </x:c>
      <x:c r="N996" s="19" t="n">
        <x:f>(E996-F996)*H996</x:f>
        <x:v>84</x:v>
      </x:c>
      <x:c r="O996" s="19" t="n">
        <x:f>F996*J996</x:f>
        <x:v>0</x:v>
      </x:c>
      <x:c r="P996" s="19" t="n">
        <x:f>M996-N996-O996</x:f>
        <x:v>96</x:v>
      </x:c>
    </x:row>
    <x:row r="997">
      <x:c r="A997" s="15" t="str">
        <x:v>SIM-0993</x:v>
      </x:c>
      <x:c r="B997" s="15" t="str">
        <x:v>2026-05</x:v>
      </x:c>
      <x:c r="C997" s="15" t="str">
        <x:v>Prendas</x:v>
      </x:c>
      <x:c r="D997" s="15" t="str">
        <x:v>Online</x:v>
      </x:c>
      <x:c r="E997" s="15" t="n">
        <x:v>1</x:v>
      </x:c>
      <x:c r="F997" s="15" t="n">
        <x:v>0</x:v>
      </x:c>
      <x:c r="G997" s="19" t="n">
        <x:v>60</x:v>
      </x:c>
      <x:c r="H997" s="19" t="n">
        <x:v>24</x:v>
      </x:c>
      <x:c r="I997" s="17" t="n">
        <x:v>0</x:v>
      </x:c>
      <x:c r="J997" s="19" t="n">
        <x:v>6</x:v>
      </x:c>
      <x:c r="K997" s="19" t="n">
        <x:f>E997*G997</x:f>
        <x:v>60</x:v>
      </x:c>
      <x:c r="L997" s="19" t="n">
        <x:f>K997*I997</x:f>
        <x:v>0</x:v>
      </x:c>
      <x:c r="M997" s="19" t="n">
        <x:f>(E997-F997)*G997*(1-I997)</x:f>
        <x:v>60</x:v>
      </x:c>
      <x:c r="N997" s="19" t="n">
        <x:f>(E997-F997)*H997</x:f>
        <x:v>24</x:v>
      </x:c>
      <x:c r="O997" s="19" t="n">
        <x:f>F997*J997</x:f>
        <x:v>0</x:v>
      </x:c>
      <x:c r="P997" s="19" t="n">
        <x:f>M997-N997-O997</x:f>
        <x:v>36</x:v>
      </x:c>
    </x:row>
    <x:row r="998">
      <x:c r="A998" s="15" t="str">
        <x:v>SIM-0994</x:v>
      </x:c>
      <x:c r="B998" s="15" t="str">
        <x:v>2026-05</x:v>
      </x:c>
      <x:c r="C998" s="15" t="str">
        <x:v>Prendas</x:v>
      </x:c>
      <x:c r="D998" s="15" t="str">
        <x:v>Online</x:v>
      </x:c>
      <x:c r="E998" s="15" t="n">
        <x:v>3</x:v>
      </x:c>
      <x:c r="F998" s="15" t="n">
        <x:v>0</x:v>
      </x:c>
      <x:c r="G998" s="19" t="n">
        <x:v>60</x:v>
      </x:c>
      <x:c r="H998" s="19" t="n">
        <x:v>24</x:v>
      </x:c>
      <x:c r="I998" s="17" t="n">
        <x:v>0</x:v>
      </x:c>
      <x:c r="J998" s="19" t="n">
        <x:v>6</x:v>
      </x:c>
      <x:c r="K998" s="19" t="n">
        <x:f>E998*G998</x:f>
        <x:v>180</x:v>
      </x:c>
      <x:c r="L998" s="19" t="n">
        <x:f>K998*I998</x:f>
        <x:v>0</x:v>
      </x:c>
      <x:c r="M998" s="19" t="n">
        <x:f>(E998-F998)*G998*(1-I998)</x:f>
        <x:v>180</x:v>
      </x:c>
      <x:c r="N998" s="19" t="n">
        <x:f>(E998-F998)*H998</x:f>
        <x:v>72</x:v>
      </x:c>
      <x:c r="O998" s="19" t="n">
        <x:f>F998*J998</x:f>
        <x:v>0</x:v>
      </x:c>
      <x:c r="P998" s="19" t="n">
        <x:f>M998-N998-O998</x:f>
        <x:v>108</x:v>
      </x:c>
    </x:row>
    <x:row r="999">
      <x:c r="A999" s="15" t="str">
        <x:v>SIM-0995</x:v>
      </x:c>
      <x:c r="B999" s="15" t="str">
        <x:v>2026-05</x:v>
      </x:c>
      <x:c r="C999" s="15" t="str">
        <x:v>Prendas</x:v>
      </x:c>
      <x:c r="D999" s="15" t="str">
        <x:v>Online</x:v>
      </x:c>
      <x:c r="E999" s="15" t="n">
        <x:v>3</x:v>
      </x:c>
      <x:c r="F999" s="15" t="n">
        <x:v>0</x:v>
      </x:c>
      <x:c r="G999" s="19" t="n">
        <x:v>60</x:v>
      </x:c>
      <x:c r="H999" s="19" t="n">
        <x:v>24</x:v>
      </x:c>
      <x:c r="I999" s="17" t="n">
        <x:v>0.2</x:v>
      </x:c>
      <x:c r="J999" s="19" t="n">
        <x:v>6</x:v>
      </x:c>
      <x:c r="K999" s="19" t="n">
        <x:f>E999*G999</x:f>
        <x:v>180</x:v>
      </x:c>
      <x:c r="L999" s="19" t="n">
        <x:f>K999*I999</x:f>
        <x:v>36</x:v>
      </x:c>
      <x:c r="M999" s="19" t="n">
        <x:f>(E999-F999)*G999*(1-I999)</x:f>
        <x:v>144</x:v>
      </x:c>
      <x:c r="N999" s="19" t="n">
        <x:f>(E999-F999)*H999</x:f>
        <x:v>72</x:v>
      </x:c>
      <x:c r="O999" s="19" t="n">
        <x:f>F999*J999</x:f>
        <x:v>0</x:v>
      </x:c>
      <x:c r="P999" s="19" t="n">
        <x:f>M999-N999-O999</x:f>
        <x:v>72</x:v>
      </x:c>
    </x:row>
    <x:row r="1000">
      <x:c r="A1000" s="15" t="str">
        <x:v>SIM-0996</x:v>
      </x:c>
      <x:c r="B1000" s="15" t="str">
        <x:v>2026-05</x:v>
      </x:c>
      <x:c r="C1000" s="15" t="str">
        <x:v>Accesorios</x:v>
      </x:c>
      <x:c r="D1000" s="15" t="str">
        <x:v>Tienda</x:v>
      </x:c>
      <x:c r="E1000" s="15" t="n">
        <x:v>3</x:v>
      </x:c>
      <x:c r="F1000" s="15" t="n">
        <x:v>0</x:v>
      </x:c>
      <x:c r="G1000" s="19" t="n">
        <x:v>30</x:v>
      </x:c>
      <x:c r="H1000" s="19" t="n">
        <x:v>9</x:v>
      </x:c>
      <x:c r="I1000" s="17" t="n">
        <x:v>0.3</x:v>
      </x:c>
      <x:c r="J1000" s="19" t="n">
        <x:v>2</x:v>
      </x:c>
      <x:c r="K1000" s="19" t="n">
        <x:f>E1000*G1000</x:f>
        <x:v>90</x:v>
      </x:c>
      <x:c r="L1000" s="19" t="n">
        <x:f>K1000*I1000</x:f>
        <x:v>27</x:v>
      </x:c>
      <x:c r="M1000" s="19" t="n">
        <x:f>(E1000-F1000)*G1000*(1-I1000)</x:f>
        <x:v>62.99999999999999</x:v>
      </x:c>
      <x:c r="N1000" s="19" t="n">
        <x:f>(E1000-F1000)*H1000</x:f>
        <x:v>27</x:v>
      </x:c>
      <x:c r="O1000" s="19" t="n">
        <x:f>F1000*J1000</x:f>
        <x:v>0</x:v>
      </x:c>
      <x:c r="P1000" s="19" t="n">
        <x:f>M1000-N1000-O1000</x:f>
        <x:v>35.99999999999999</x:v>
      </x:c>
    </x:row>
    <x:row r="1001">
      <x:c r="A1001" s="15" t="str">
        <x:v>SIM-0997</x:v>
      </x:c>
      <x:c r="B1001" s="15" t="str">
        <x:v>2026-05</x:v>
      </x:c>
      <x:c r="C1001" s="15" t="str">
        <x:v>Prendas</x:v>
      </x:c>
      <x:c r="D1001" s="15" t="str">
        <x:v>Online</x:v>
      </x:c>
      <x:c r="E1001" s="15" t="n">
        <x:v>1</x:v>
      </x:c>
      <x:c r="F1001" s="15" t="n">
        <x:v>0</x:v>
      </x:c>
      <x:c r="G1001" s="19" t="n">
        <x:v>60</x:v>
      </x:c>
      <x:c r="H1001" s="19" t="n">
        <x:v>24</x:v>
      </x:c>
      <x:c r="I1001" s="17" t="n">
        <x:v>0.3</x:v>
      </x:c>
      <x:c r="J1001" s="19" t="n">
        <x:v>6</x:v>
      </x:c>
      <x:c r="K1001" s="19" t="n">
        <x:f>E1001*G1001</x:f>
        <x:v>60</x:v>
      </x:c>
      <x:c r="L1001" s="19" t="n">
        <x:f>K1001*I1001</x:f>
        <x:v>18</x:v>
      </x:c>
      <x:c r="M1001" s="19" t="n">
        <x:f>(E1001-F1001)*G1001*(1-I1001)</x:f>
        <x:v>42</x:v>
      </x:c>
      <x:c r="N1001" s="19" t="n">
        <x:f>(E1001-F1001)*H1001</x:f>
        <x:v>24</x:v>
      </x:c>
      <x:c r="O1001" s="19" t="n">
        <x:f>F1001*J1001</x:f>
        <x:v>0</x:v>
      </x:c>
      <x:c r="P1001" s="19" t="n">
        <x:f>M1001-N1001-O1001</x:f>
        <x:v>18</x:v>
      </x:c>
    </x:row>
    <x:row r="1002">
      <x:c r="A1002" s="15" t="str">
        <x:v>SIM-0998</x:v>
      </x:c>
      <x:c r="B1002" s="15" t="str">
        <x:v>2026-05</x:v>
      </x:c>
      <x:c r="C1002" s="15" t="str">
        <x:v>Accesorios</x:v>
      </x:c>
      <x:c r="D1002" s="15" t="str">
        <x:v>Online</x:v>
      </x:c>
      <x:c r="E1002" s="15" t="n">
        <x:v>1</x:v>
      </x:c>
      <x:c r="F1002" s="15" t="n">
        <x:v>0</x:v>
      </x:c>
      <x:c r="G1002" s="19" t="n">
        <x:v>30</x:v>
      </x:c>
      <x:c r="H1002" s="19" t="n">
        <x:v>9</x:v>
      </x:c>
      <x:c r="I1002" s="17" t="n">
        <x:v>0.2</x:v>
      </x:c>
      <x:c r="J1002" s="19" t="n">
        <x:v>6</x:v>
      </x:c>
      <x:c r="K1002" s="19" t="n">
        <x:f>E1002*G1002</x:f>
        <x:v>30</x:v>
      </x:c>
      <x:c r="L1002" s="19" t="n">
        <x:f>K1002*I1002</x:f>
        <x:v>6</x:v>
      </x:c>
      <x:c r="M1002" s="19" t="n">
        <x:f>(E1002-F1002)*G1002*(1-I1002)</x:f>
        <x:v>24</x:v>
      </x:c>
      <x:c r="N1002" s="19" t="n">
        <x:f>(E1002-F1002)*H1002</x:f>
        <x:v>9</x:v>
      </x:c>
      <x:c r="O1002" s="19" t="n">
        <x:f>F1002*J1002</x:f>
        <x:v>0</x:v>
      </x:c>
      <x:c r="P1002" s="19" t="n">
        <x:f>M1002-N1002-O1002</x:f>
        <x:v>15</x:v>
      </x:c>
    </x:row>
    <x:row r="1003">
      <x:c r="A1003" s="15" t="str">
        <x:v>SIM-0999</x:v>
      </x:c>
      <x:c r="B1003" s="15" t="str">
        <x:v>2026-05</x:v>
      </x:c>
      <x:c r="C1003" s="15" t="str">
        <x:v>Calzado</x:v>
      </x:c>
      <x:c r="D1003" s="15" t="str">
        <x:v>Online</x:v>
      </x:c>
      <x:c r="E1003" s="15" t="n">
        <x:v>1</x:v>
      </x:c>
      <x:c r="F1003" s="15" t="n">
        <x:v>0</x:v>
      </x:c>
      <x:c r="G1003" s="19" t="n">
        <x:v>90</x:v>
      </x:c>
      <x:c r="H1003" s="19" t="n">
        <x:v>42</x:v>
      </x:c>
      <x:c r="I1003" s="17" t="n">
        <x:v>0.3</x:v>
      </x:c>
      <x:c r="J1003" s="19" t="n">
        <x:v>6</x:v>
      </x:c>
      <x:c r="K1003" s="19" t="n">
        <x:f>E1003*G1003</x:f>
        <x:v>90</x:v>
      </x:c>
      <x:c r="L1003" s="19" t="n">
        <x:f>K1003*I1003</x:f>
        <x:v>27</x:v>
      </x:c>
      <x:c r="M1003" s="19" t="n">
        <x:f>(E1003-F1003)*G1003*(1-I1003)</x:f>
        <x:v>62.99999999999999</x:v>
      </x:c>
      <x:c r="N1003" s="19" t="n">
        <x:f>(E1003-F1003)*H1003</x:f>
        <x:v>42</x:v>
      </x:c>
      <x:c r="O1003" s="19" t="n">
        <x:f>F1003*J1003</x:f>
        <x:v>0</x:v>
      </x:c>
      <x:c r="P1003" s="19" t="n">
        <x:f>M1003-N1003-O1003</x:f>
        <x:v>20.999999999999993</x:v>
      </x:c>
    </x:row>
    <x:row r="1004">
      <x:c r="A1004" s="15" t="str">
        <x:v>SIM-1000</x:v>
      </x:c>
      <x:c r="B1004" s="15" t="str">
        <x:v>2026-05</x:v>
      </x:c>
      <x:c r="C1004" s="15" t="str">
        <x:v>Prendas</x:v>
      </x:c>
      <x:c r="D1004" s="15" t="str">
        <x:v>Online</x:v>
      </x:c>
      <x:c r="E1004" s="15" t="n">
        <x:v>1</x:v>
      </x:c>
      <x:c r="F1004" s="15" t="n">
        <x:v>1</x:v>
      </x:c>
      <x:c r="G1004" s="19" t="n">
        <x:v>60</x:v>
      </x:c>
      <x:c r="H1004" s="19" t="n">
        <x:v>24</x:v>
      </x:c>
      <x:c r="I1004" s="17" t="n">
        <x:v>0.1</x:v>
      </x:c>
      <x:c r="J1004" s="19" t="n">
        <x:v>6</x:v>
      </x:c>
      <x:c r="K1004" s="19" t="n">
        <x:f>E1004*G1004</x:f>
        <x:v>60</x:v>
      </x:c>
      <x:c r="L1004" s="19" t="n">
        <x:f>K1004*I1004</x:f>
        <x:v>6</x:v>
      </x:c>
      <x:c r="M1004" s="19" t="n">
        <x:f>(E1004-F1004)*G1004*(1-I1004)</x:f>
        <x:v>0</x:v>
      </x:c>
      <x:c r="N1004" s="19" t="n">
        <x:f>(E1004-F1004)*H1004</x:f>
        <x:v>0</x:v>
      </x:c>
      <x:c r="O1004" s="19" t="n">
        <x:f>F1004*J1004</x:f>
        <x:v>6</x:v>
      </x:c>
      <x:c r="P1004" s="19" t="n">
        <x:f>M1004-N1004-O1004</x:f>
        <x:v>-6</x:v>
      </x:c>
    </x:row>
    <x:row r="1005">
      <x:c r="A1005" s="15" t="str">
        <x:v>SIM-1001</x:v>
      </x:c>
      <x:c r="B1005" s="15" t="str">
        <x:v>2026-05</x:v>
      </x:c>
      <x:c r="C1005" s="15" t="str">
        <x:v>Accesorios</x:v>
      </x:c>
      <x:c r="D1005" s="15" t="str">
        <x:v>Online</x:v>
      </x:c>
      <x:c r="E1005" s="15" t="n">
        <x:v>1</x:v>
      </x:c>
      <x:c r="F1005" s="15" t="n">
        <x:v>0</x:v>
      </x:c>
      <x:c r="G1005" s="19" t="n">
        <x:v>30</x:v>
      </x:c>
      <x:c r="H1005" s="19" t="n">
        <x:v>9</x:v>
      </x:c>
      <x:c r="I1005" s="17" t="n">
        <x:v>0.1</x:v>
      </x:c>
      <x:c r="J1005" s="19" t="n">
        <x:v>6</x:v>
      </x:c>
      <x:c r="K1005" s="19" t="n">
        <x:f>E1005*G1005</x:f>
        <x:v>30</x:v>
      </x:c>
      <x:c r="L1005" s="19" t="n">
        <x:f>K1005*I1005</x:f>
        <x:v>3</x:v>
      </x:c>
      <x:c r="M1005" s="19" t="n">
        <x:f>(E1005-F1005)*G1005*(1-I1005)</x:f>
        <x:v>27</x:v>
      </x:c>
      <x:c r="N1005" s="19" t="n">
        <x:f>(E1005-F1005)*H1005</x:f>
        <x:v>9</x:v>
      </x:c>
      <x:c r="O1005" s="19" t="n">
        <x:f>F1005*J1005</x:f>
        <x:v>0</x:v>
      </x:c>
      <x:c r="P1005" s="19" t="n">
        <x:f>M1005-N1005-O1005</x:f>
        <x:v>18</x:v>
      </x:c>
    </x:row>
    <x:row r="1006">
      <x:c r="A1006" s="15" t="str">
        <x:v>SIM-1002</x:v>
      </x:c>
      <x:c r="B1006" s="15" t="str">
        <x:v>2026-05</x:v>
      </x:c>
      <x:c r="C1006" s="15" t="str">
        <x:v>Calzado</x:v>
      </x:c>
      <x:c r="D1006" s="15" t="str">
        <x:v>Tienda</x:v>
      </x:c>
      <x:c r="E1006" s="15" t="n">
        <x:v>2</x:v>
      </x:c>
      <x:c r="F1006" s="15" t="n">
        <x:v>0</x:v>
      </x:c>
      <x:c r="G1006" s="19" t="n">
        <x:v>90</x:v>
      </x:c>
      <x:c r="H1006" s="19" t="n">
        <x:v>42</x:v>
      </x:c>
      <x:c r="I1006" s="17" t="n">
        <x:v>0</x:v>
      </x:c>
      <x:c r="J1006" s="19" t="n">
        <x:v>2</x:v>
      </x:c>
      <x:c r="K1006" s="19" t="n">
        <x:f>E1006*G1006</x:f>
        <x:v>180</x:v>
      </x:c>
      <x:c r="L1006" s="19" t="n">
        <x:f>K1006*I1006</x:f>
        <x:v>0</x:v>
      </x:c>
      <x:c r="M1006" s="19" t="n">
        <x:f>(E1006-F1006)*G1006*(1-I1006)</x:f>
        <x:v>180</x:v>
      </x:c>
      <x:c r="N1006" s="19" t="n">
        <x:f>(E1006-F1006)*H1006</x:f>
        <x:v>84</x:v>
      </x:c>
      <x:c r="O1006" s="19" t="n">
        <x:f>F1006*J1006</x:f>
        <x:v>0</x:v>
      </x:c>
      <x:c r="P1006" s="19" t="n">
        <x:f>M1006-N1006-O1006</x:f>
        <x:v>96</x:v>
      </x:c>
    </x:row>
    <x:row r="1007">
      <x:c r="A1007" s="15" t="str">
        <x:v>SIM-1003</x:v>
      </x:c>
      <x:c r="B1007" s="15" t="str">
        <x:v>2026-05</x:v>
      </x:c>
      <x:c r="C1007" s="15" t="str">
        <x:v>Prendas</x:v>
      </x:c>
      <x:c r="D1007" s="15" t="str">
        <x:v>Online</x:v>
      </x:c>
      <x:c r="E1007" s="15" t="n">
        <x:v>1</x:v>
      </x:c>
      <x:c r="F1007" s="15" t="n">
        <x:v>1</x:v>
      </x:c>
      <x:c r="G1007" s="19" t="n">
        <x:v>60</x:v>
      </x:c>
      <x:c r="H1007" s="19" t="n">
        <x:v>24</x:v>
      </x:c>
      <x:c r="I1007" s="17" t="n">
        <x:v>0.1</x:v>
      </x:c>
      <x:c r="J1007" s="19" t="n">
        <x:v>6</x:v>
      </x:c>
      <x:c r="K1007" s="19" t="n">
        <x:f>E1007*G1007</x:f>
        <x:v>60</x:v>
      </x:c>
      <x:c r="L1007" s="19" t="n">
        <x:f>K1007*I1007</x:f>
        <x:v>6</x:v>
      </x:c>
      <x:c r="M1007" s="19" t="n">
        <x:f>(E1007-F1007)*G1007*(1-I1007)</x:f>
        <x:v>0</x:v>
      </x:c>
      <x:c r="N1007" s="19" t="n">
        <x:f>(E1007-F1007)*H1007</x:f>
        <x:v>0</x:v>
      </x:c>
      <x:c r="O1007" s="19" t="n">
        <x:f>F1007*J1007</x:f>
        <x:v>6</x:v>
      </x:c>
      <x:c r="P1007" s="19" t="n">
        <x:f>M1007-N1007-O1007</x:f>
        <x:v>-6</x:v>
      </x:c>
    </x:row>
    <x:row r="1008">
      <x:c r="A1008" s="15" t="str">
        <x:v>SIM-1004</x:v>
      </x:c>
      <x:c r="B1008" s="15" t="str">
        <x:v>2026-05</x:v>
      </x:c>
      <x:c r="C1008" s="15" t="str">
        <x:v>Calzado</x:v>
      </x:c>
      <x:c r="D1008" s="15" t="str">
        <x:v>Online</x:v>
      </x:c>
      <x:c r="E1008" s="15" t="n">
        <x:v>3</x:v>
      </x:c>
      <x:c r="F1008" s="15" t="n">
        <x:v>0</x:v>
      </x:c>
      <x:c r="G1008" s="19" t="n">
        <x:v>90</x:v>
      </x:c>
      <x:c r="H1008" s="19" t="n">
        <x:v>42</x:v>
      </x:c>
      <x:c r="I1008" s="17" t="n">
        <x:v>0.3</x:v>
      </x:c>
      <x:c r="J1008" s="19" t="n">
        <x:v>6</x:v>
      </x:c>
      <x:c r="K1008" s="19" t="n">
        <x:f>E1008*G1008</x:f>
        <x:v>270</x:v>
      </x:c>
      <x:c r="L1008" s="19" t="n">
        <x:f>K1008*I1008</x:f>
        <x:v>81</x:v>
      </x:c>
      <x:c r="M1008" s="19" t="n">
        <x:f>(E1008-F1008)*G1008*(1-I1008)</x:f>
        <x:v>189</x:v>
      </x:c>
      <x:c r="N1008" s="19" t="n">
        <x:f>(E1008-F1008)*H1008</x:f>
        <x:v>126</x:v>
      </x:c>
      <x:c r="O1008" s="19" t="n">
        <x:f>F1008*J1008</x:f>
        <x:v>0</x:v>
      </x:c>
      <x:c r="P1008" s="19" t="n">
        <x:f>M1008-N1008-O1008</x:f>
        <x:v>63</x:v>
      </x:c>
    </x:row>
    <x:row r="1009">
      <x:c r="A1009" s="15" t="str">
        <x:v>SIM-1005</x:v>
      </x:c>
      <x:c r="B1009" s="15" t="str">
        <x:v>2026-05</x:v>
      </x:c>
      <x:c r="C1009" s="15" t="str">
        <x:v>Prendas</x:v>
      </x:c>
      <x:c r="D1009" s="15" t="str">
        <x:v>Tienda</x:v>
      </x:c>
      <x:c r="E1009" s="15" t="n">
        <x:v>2</x:v>
      </x:c>
      <x:c r="F1009" s="15" t="n">
        <x:v>1</x:v>
      </x:c>
      <x:c r="G1009" s="19" t="n">
        <x:v>60</x:v>
      </x:c>
      <x:c r="H1009" s="19" t="n">
        <x:v>24</x:v>
      </x:c>
      <x:c r="I1009" s="17" t="n">
        <x:v>0.1</x:v>
      </x:c>
      <x:c r="J1009" s="19" t="n">
        <x:v>2</x:v>
      </x:c>
      <x:c r="K1009" s="19" t="n">
        <x:f>E1009*G1009</x:f>
        <x:v>120</x:v>
      </x:c>
      <x:c r="L1009" s="19" t="n">
        <x:f>K1009*I1009</x:f>
        <x:v>12</x:v>
      </x:c>
      <x:c r="M1009" s="19" t="n">
        <x:f>(E1009-F1009)*G1009*(1-I1009)</x:f>
        <x:v>54</x:v>
      </x:c>
      <x:c r="N1009" s="19" t="n">
        <x:f>(E1009-F1009)*H1009</x:f>
        <x:v>24</x:v>
      </x:c>
      <x:c r="O1009" s="19" t="n">
        <x:f>F1009*J1009</x:f>
        <x:v>2</x:v>
      </x:c>
      <x:c r="P1009" s="19" t="n">
        <x:f>M1009-N1009-O1009</x:f>
        <x:v>28</x:v>
      </x:c>
    </x:row>
    <x:row r="1010">
      <x:c r="A1010" s="15" t="str">
        <x:v>SIM-1006</x:v>
      </x:c>
      <x:c r="B1010" s="15" t="str">
        <x:v>2026-05</x:v>
      </x:c>
      <x:c r="C1010" s="15" t="str">
        <x:v>Prendas</x:v>
      </x:c>
      <x:c r="D1010" s="15" t="str">
        <x:v>Tienda</x:v>
      </x:c>
      <x:c r="E1010" s="15" t="n">
        <x:v>2</x:v>
      </x:c>
      <x:c r="F1010" s="15" t="n">
        <x:v>0</x:v>
      </x:c>
      <x:c r="G1010" s="19" t="n">
        <x:v>60</x:v>
      </x:c>
      <x:c r="H1010" s="19" t="n">
        <x:v>24</x:v>
      </x:c>
      <x:c r="I1010" s="17" t="n">
        <x:v>0.3</x:v>
      </x:c>
      <x:c r="J1010" s="19" t="n">
        <x:v>2</x:v>
      </x:c>
      <x:c r="K1010" s="19" t="n">
        <x:f>E1010*G1010</x:f>
        <x:v>120</x:v>
      </x:c>
      <x:c r="L1010" s="19" t="n">
        <x:f>K1010*I1010</x:f>
        <x:v>36</x:v>
      </x:c>
      <x:c r="M1010" s="19" t="n">
        <x:f>(E1010-F1010)*G1010*(1-I1010)</x:f>
        <x:v>84</x:v>
      </x:c>
      <x:c r="N1010" s="19" t="n">
        <x:f>(E1010-F1010)*H1010</x:f>
        <x:v>48</x:v>
      </x:c>
      <x:c r="O1010" s="19" t="n">
        <x:f>F1010*J1010</x:f>
        <x:v>0</x:v>
      </x:c>
      <x:c r="P1010" s="19" t="n">
        <x:f>M1010-N1010-O1010</x:f>
        <x:v>36</x:v>
      </x:c>
    </x:row>
    <x:row r="1011">
      <x:c r="A1011" s="15" t="str">
        <x:v>SIM-1007</x:v>
      </x:c>
      <x:c r="B1011" s="15" t="str">
        <x:v>2026-05</x:v>
      </x:c>
      <x:c r="C1011" s="15" t="str">
        <x:v>Calzado</x:v>
      </x:c>
      <x:c r="D1011" s="15" t="str">
        <x:v>Online</x:v>
      </x:c>
      <x:c r="E1011" s="15" t="n">
        <x:v>2</x:v>
      </x:c>
      <x:c r="F1011" s="15" t="n">
        <x:v>0</x:v>
      </x:c>
      <x:c r="G1011" s="19" t="n">
        <x:v>90</x:v>
      </x:c>
      <x:c r="H1011" s="19" t="n">
        <x:v>42</x:v>
      </x:c>
      <x:c r="I1011" s="17" t="n">
        <x:v>0.3</x:v>
      </x:c>
      <x:c r="J1011" s="19" t="n">
        <x:v>6</x:v>
      </x:c>
      <x:c r="K1011" s="19" t="n">
        <x:f>E1011*G1011</x:f>
        <x:v>180</x:v>
      </x:c>
      <x:c r="L1011" s="19" t="n">
        <x:f>K1011*I1011</x:f>
        <x:v>54</x:v>
      </x:c>
      <x:c r="M1011" s="19" t="n">
        <x:f>(E1011-F1011)*G1011*(1-I1011)</x:f>
        <x:v>125.99999999999999</x:v>
      </x:c>
      <x:c r="N1011" s="19" t="n">
        <x:f>(E1011-F1011)*H1011</x:f>
        <x:v>84</x:v>
      </x:c>
      <x:c r="O1011" s="19" t="n">
        <x:f>F1011*J1011</x:f>
        <x:v>0</x:v>
      </x:c>
      <x:c r="P1011" s="19" t="n">
        <x:f>M1011-N1011-O1011</x:f>
        <x:v>41.999999999999986</x:v>
      </x:c>
    </x:row>
    <x:row r="1012">
      <x:c r="A1012" s="15" t="str">
        <x:v>SIM-1008</x:v>
      </x:c>
      <x:c r="B1012" s="15" t="str">
        <x:v>2026-05</x:v>
      </x:c>
      <x:c r="C1012" s="15" t="str">
        <x:v>Accesorios</x:v>
      </x:c>
      <x:c r="D1012" s="15" t="str">
        <x:v>Tienda</x:v>
      </x:c>
      <x:c r="E1012" s="15" t="n">
        <x:v>3</x:v>
      </x:c>
      <x:c r="F1012" s="15" t="n">
        <x:v>1</x:v>
      </x:c>
      <x:c r="G1012" s="19" t="n">
        <x:v>30</x:v>
      </x:c>
      <x:c r="H1012" s="19" t="n">
        <x:v>9</x:v>
      </x:c>
      <x:c r="I1012" s="17" t="n">
        <x:v>0</x:v>
      </x:c>
      <x:c r="J1012" s="19" t="n">
        <x:v>2</x:v>
      </x:c>
      <x:c r="K1012" s="19" t="n">
        <x:f>E1012*G1012</x:f>
        <x:v>90</x:v>
      </x:c>
      <x:c r="L1012" s="19" t="n">
        <x:f>K1012*I1012</x:f>
        <x:v>0</x:v>
      </x:c>
      <x:c r="M1012" s="19" t="n">
        <x:f>(E1012-F1012)*G1012*(1-I1012)</x:f>
        <x:v>60</x:v>
      </x:c>
      <x:c r="N1012" s="19" t="n">
        <x:f>(E1012-F1012)*H1012</x:f>
        <x:v>18</x:v>
      </x:c>
      <x:c r="O1012" s="19" t="n">
        <x:f>F1012*J1012</x:f>
        <x:v>2</x:v>
      </x:c>
      <x:c r="P1012" s="19" t="n">
        <x:f>M1012-N1012-O1012</x:f>
        <x:v>40</x:v>
      </x:c>
    </x:row>
    <x:row r="1013">
      <x:c r="A1013" s="15" t="str">
        <x:v>SIM-1009</x:v>
      </x:c>
      <x:c r="B1013" s="15" t="str">
        <x:v>2026-05</x:v>
      </x:c>
      <x:c r="C1013" s="15" t="str">
        <x:v>Accesorios</x:v>
      </x:c>
      <x:c r="D1013" s="15" t="str">
        <x:v>Online</x:v>
      </x:c>
      <x:c r="E1013" s="15" t="n">
        <x:v>1</x:v>
      </x:c>
      <x:c r="F1013" s="15" t="n">
        <x:v>0</x:v>
      </x:c>
      <x:c r="G1013" s="19" t="n">
        <x:v>30</x:v>
      </x:c>
      <x:c r="H1013" s="19" t="n">
        <x:v>9</x:v>
      </x:c>
      <x:c r="I1013" s="17" t="n">
        <x:v>0</x:v>
      </x:c>
      <x:c r="J1013" s="19" t="n">
        <x:v>6</x:v>
      </x:c>
      <x:c r="K1013" s="19" t="n">
        <x:f>E1013*G1013</x:f>
        <x:v>30</x:v>
      </x:c>
      <x:c r="L1013" s="19" t="n">
        <x:f>K1013*I1013</x:f>
        <x:v>0</x:v>
      </x:c>
      <x:c r="M1013" s="19" t="n">
        <x:f>(E1013-F1013)*G1013*(1-I1013)</x:f>
        <x:v>30</x:v>
      </x:c>
      <x:c r="N1013" s="19" t="n">
        <x:f>(E1013-F1013)*H1013</x:f>
        <x:v>9</x:v>
      </x:c>
      <x:c r="O1013" s="19" t="n">
        <x:f>F1013*J1013</x:f>
        <x:v>0</x:v>
      </x:c>
      <x:c r="P1013" s="19" t="n">
        <x:f>M1013-N1013-O1013</x:f>
        <x:v>21</x:v>
      </x:c>
    </x:row>
    <x:row r="1014">
      <x:c r="A1014" s="15" t="str">
        <x:v>SIM-1010</x:v>
      </x:c>
      <x:c r="B1014" s="15" t="str">
        <x:v>2026-05</x:v>
      </x:c>
      <x:c r="C1014" s="15" t="str">
        <x:v>Accesorios</x:v>
      </x:c>
      <x:c r="D1014" s="15" t="str">
        <x:v>Online</x:v>
      </x:c>
      <x:c r="E1014" s="15" t="n">
        <x:v>1</x:v>
      </x:c>
      <x:c r="F1014" s="15" t="n">
        <x:v>0</x:v>
      </x:c>
      <x:c r="G1014" s="19" t="n">
        <x:v>30</x:v>
      </x:c>
      <x:c r="H1014" s="19" t="n">
        <x:v>9</x:v>
      </x:c>
      <x:c r="I1014" s="17" t="n">
        <x:v>0.1</x:v>
      </x:c>
      <x:c r="J1014" s="19" t="n">
        <x:v>6</x:v>
      </x:c>
      <x:c r="K1014" s="19" t="n">
        <x:f>E1014*G1014</x:f>
        <x:v>30</x:v>
      </x:c>
      <x:c r="L1014" s="19" t="n">
        <x:f>K1014*I1014</x:f>
        <x:v>3</x:v>
      </x:c>
      <x:c r="M1014" s="19" t="n">
        <x:f>(E1014-F1014)*G1014*(1-I1014)</x:f>
        <x:v>27</x:v>
      </x:c>
      <x:c r="N1014" s="19" t="n">
        <x:f>(E1014-F1014)*H1014</x:f>
        <x:v>9</x:v>
      </x:c>
      <x:c r="O1014" s="19" t="n">
        <x:f>F1014*J1014</x:f>
        <x:v>0</x:v>
      </x:c>
      <x:c r="P1014" s="19" t="n">
        <x:f>M1014-N1014-O1014</x:f>
        <x:v>18</x:v>
      </x:c>
    </x:row>
    <x:row r="1015">
      <x:c r="A1015" s="15" t="str">
        <x:v>SIM-1011</x:v>
      </x:c>
      <x:c r="B1015" s="15" t="str">
        <x:v>2026-05</x:v>
      </x:c>
      <x:c r="C1015" s="15" t="str">
        <x:v>Accesorios</x:v>
      </x:c>
      <x:c r="D1015" s="15" t="str">
        <x:v>Online</x:v>
      </x:c>
      <x:c r="E1015" s="15" t="n">
        <x:v>3</x:v>
      </x:c>
      <x:c r="F1015" s="15" t="n">
        <x:v>1</x:v>
      </x:c>
      <x:c r="G1015" s="19" t="n">
        <x:v>30</x:v>
      </x:c>
      <x:c r="H1015" s="19" t="n">
        <x:v>9</x:v>
      </x:c>
      <x:c r="I1015" s="17" t="n">
        <x:v>0</x:v>
      </x:c>
      <x:c r="J1015" s="19" t="n">
        <x:v>6</x:v>
      </x:c>
      <x:c r="K1015" s="19" t="n">
        <x:f>E1015*G1015</x:f>
        <x:v>90</x:v>
      </x:c>
      <x:c r="L1015" s="19" t="n">
        <x:f>K1015*I1015</x:f>
        <x:v>0</x:v>
      </x:c>
      <x:c r="M1015" s="19" t="n">
        <x:f>(E1015-F1015)*G1015*(1-I1015)</x:f>
        <x:v>60</x:v>
      </x:c>
      <x:c r="N1015" s="19" t="n">
        <x:f>(E1015-F1015)*H1015</x:f>
        <x:v>18</x:v>
      </x:c>
      <x:c r="O1015" s="19" t="n">
        <x:f>F1015*J1015</x:f>
        <x:v>6</x:v>
      </x:c>
      <x:c r="P1015" s="19" t="n">
        <x:f>M1015-N1015-O1015</x:f>
        <x:v>36</x:v>
      </x:c>
    </x:row>
    <x:row r="1016">
      <x:c r="A1016" s="15" t="str">
        <x:v>SIM-1012</x:v>
      </x:c>
      <x:c r="B1016" s="15" t="str">
        <x:v>2026-05</x:v>
      </x:c>
      <x:c r="C1016" s="15" t="str">
        <x:v>Prendas</x:v>
      </x:c>
      <x:c r="D1016" s="15" t="str">
        <x:v>Online</x:v>
      </x:c>
      <x:c r="E1016" s="15" t="n">
        <x:v>1</x:v>
      </x:c>
      <x:c r="F1016" s="15" t="n">
        <x:v>0</x:v>
      </x:c>
      <x:c r="G1016" s="19" t="n">
        <x:v>60</x:v>
      </x:c>
      <x:c r="H1016" s="19" t="n">
        <x:v>24</x:v>
      </x:c>
      <x:c r="I1016" s="17" t="n">
        <x:v>0</x:v>
      </x:c>
      <x:c r="J1016" s="19" t="n">
        <x:v>6</x:v>
      </x:c>
      <x:c r="K1016" s="19" t="n">
        <x:f>E1016*G1016</x:f>
        <x:v>60</x:v>
      </x:c>
      <x:c r="L1016" s="19" t="n">
        <x:f>K1016*I1016</x:f>
        <x:v>0</x:v>
      </x:c>
      <x:c r="M1016" s="19" t="n">
        <x:f>(E1016-F1016)*G1016*(1-I1016)</x:f>
        <x:v>60</x:v>
      </x:c>
      <x:c r="N1016" s="19" t="n">
        <x:f>(E1016-F1016)*H1016</x:f>
        <x:v>24</x:v>
      </x:c>
      <x:c r="O1016" s="19" t="n">
        <x:f>F1016*J1016</x:f>
        <x:v>0</x:v>
      </x:c>
      <x:c r="P1016" s="19" t="n">
        <x:f>M1016-N1016-O1016</x:f>
        <x:v>36</x:v>
      </x:c>
    </x:row>
    <x:row r="1017">
      <x:c r="A1017" s="15" t="str">
        <x:v>SIM-1013</x:v>
      </x:c>
      <x:c r="B1017" s="15" t="str">
        <x:v>2026-05</x:v>
      </x:c>
      <x:c r="C1017" s="15" t="str">
        <x:v>Prendas</x:v>
      </x:c>
      <x:c r="D1017" s="15" t="str">
        <x:v>Tienda</x:v>
      </x:c>
      <x:c r="E1017" s="15" t="n">
        <x:v>2</x:v>
      </x:c>
      <x:c r="F1017" s="15" t="n">
        <x:v>0</x:v>
      </x:c>
      <x:c r="G1017" s="19" t="n">
        <x:v>60</x:v>
      </x:c>
      <x:c r="H1017" s="19" t="n">
        <x:v>24</x:v>
      </x:c>
      <x:c r="I1017" s="17" t="n">
        <x:v>0</x:v>
      </x:c>
      <x:c r="J1017" s="19" t="n">
        <x:v>2</x:v>
      </x:c>
      <x:c r="K1017" s="19" t="n">
        <x:f>E1017*G1017</x:f>
        <x:v>120</x:v>
      </x:c>
      <x:c r="L1017" s="19" t="n">
        <x:f>K1017*I1017</x:f>
        <x:v>0</x:v>
      </x:c>
      <x:c r="M1017" s="19" t="n">
        <x:f>(E1017-F1017)*G1017*(1-I1017)</x:f>
        <x:v>120</x:v>
      </x:c>
      <x:c r="N1017" s="19" t="n">
        <x:f>(E1017-F1017)*H1017</x:f>
        <x:v>48</x:v>
      </x:c>
      <x:c r="O1017" s="19" t="n">
        <x:f>F1017*J1017</x:f>
        <x:v>0</x:v>
      </x:c>
      <x:c r="P1017" s="19" t="n">
        <x:f>M1017-N1017-O1017</x:f>
        <x:v>72</x:v>
      </x:c>
    </x:row>
    <x:row r="1018">
      <x:c r="A1018" s="15" t="str">
        <x:v>SIM-1014</x:v>
      </x:c>
      <x:c r="B1018" s="15" t="str">
        <x:v>2026-05</x:v>
      </x:c>
      <x:c r="C1018" s="15" t="str">
        <x:v>Accesorios</x:v>
      </x:c>
      <x:c r="D1018" s="15" t="str">
        <x:v>Tienda</x:v>
      </x:c>
      <x:c r="E1018" s="15" t="n">
        <x:v>1</x:v>
      </x:c>
      <x:c r="F1018" s="15" t="n">
        <x:v>0</x:v>
      </x:c>
      <x:c r="G1018" s="19" t="n">
        <x:v>30</x:v>
      </x:c>
      <x:c r="H1018" s="19" t="n">
        <x:v>9</x:v>
      </x:c>
      <x:c r="I1018" s="17" t="n">
        <x:v>0.1</x:v>
      </x:c>
      <x:c r="J1018" s="19" t="n">
        <x:v>2</x:v>
      </x:c>
      <x:c r="K1018" s="19" t="n">
        <x:f>E1018*G1018</x:f>
        <x:v>30</x:v>
      </x:c>
      <x:c r="L1018" s="19" t="n">
        <x:f>K1018*I1018</x:f>
        <x:v>3</x:v>
      </x:c>
      <x:c r="M1018" s="19" t="n">
        <x:f>(E1018-F1018)*G1018*(1-I1018)</x:f>
        <x:v>27</x:v>
      </x:c>
      <x:c r="N1018" s="19" t="n">
        <x:f>(E1018-F1018)*H1018</x:f>
        <x:v>9</x:v>
      </x:c>
      <x:c r="O1018" s="19" t="n">
        <x:f>F1018*J1018</x:f>
        <x:v>0</x:v>
      </x:c>
      <x:c r="P1018" s="19" t="n">
        <x:f>M1018-N1018-O1018</x:f>
        <x:v>18</x:v>
      </x:c>
    </x:row>
    <x:row r="1019">
      <x:c r="A1019" s="15" t="str">
        <x:v>SIM-1015</x:v>
      </x:c>
      <x:c r="B1019" s="15" t="str">
        <x:v>2026-05</x:v>
      </x:c>
      <x:c r="C1019" s="15" t="str">
        <x:v>Accesorios</x:v>
      </x:c>
      <x:c r="D1019" s="15" t="str">
        <x:v>Tienda</x:v>
      </x:c>
      <x:c r="E1019" s="15" t="n">
        <x:v>1</x:v>
      </x:c>
      <x:c r="F1019" s="15" t="n">
        <x:v>0</x:v>
      </x:c>
      <x:c r="G1019" s="19" t="n">
        <x:v>30</x:v>
      </x:c>
      <x:c r="H1019" s="19" t="n">
        <x:v>9</x:v>
      </x:c>
      <x:c r="I1019" s="17" t="n">
        <x:v>0.3</x:v>
      </x:c>
      <x:c r="J1019" s="19" t="n">
        <x:v>2</x:v>
      </x:c>
      <x:c r="K1019" s="19" t="n">
        <x:f>E1019*G1019</x:f>
        <x:v>30</x:v>
      </x:c>
      <x:c r="L1019" s="19" t="n">
        <x:f>K1019*I1019</x:f>
        <x:v>9</x:v>
      </x:c>
      <x:c r="M1019" s="19" t="n">
        <x:f>(E1019-F1019)*G1019*(1-I1019)</x:f>
        <x:v>21</x:v>
      </x:c>
      <x:c r="N1019" s="19" t="n">
        <x:f>(E1019-F1019)*H1019</x:f>
        <x:v>9</x:v>
      </x:c>
      <x:c r="O1019" s="19" t="n">
        <x:f>F1019*J1019</x:f>
        <x:v>0</x:v>
      </x:c>
      <x:c r="P1019" s="19" t="n">
        <x:f>M1019-N1019-O1019</x:f>
        <x:v>12</x:v>
      </x:c>
    </x:row>
    <x:row r="1020">
      <x:c r="A1020" s="15" t="str">
        <x:v>SIM-1016</x:v>
      </x:c>
      <x:c r="B1020" s="15" t="str">
        <x:v>2026-05</x:v>
      </x:c>
      <x:c r="C1020" s="15" t="str">
        <x:v>Prendas</x:v>
      </x:c>
      <x:c r="D1020" s="15" t="str">
        <x:v>Tienda</x:v>
      </x:c>
      <x:c r="E1020" s="15" t="n">
        <x:v>1</x:v>
      </x:c>
      <x:c r="F1020" s="15" t="n">
        <x:v>0</x:v>
      </x:c>
      <x:c r="G1020" s="19" t="n">
        <x:v>60</x:v>
      </x:c>
      <x:c r="H1020" s="19" t="n">
        <x:v>24</x:v>
      </x:c>
      <x:c r="I1020" s="17" t="n">
        <x:v>0.3</x:v>
      </x:c>
      <x:c r="J1020" s="19" t="n">
        <x:v>2</x:v>
      </x:c>
      <x:c r="K1020" s="19" t="n">
        <x:f>E1020*G1020</x:f>
        <x:v>60</x:v>
      </x:c>
      <x:c r="L1020" s="19" t="n">
        <x:f>K1020*I1020</x:f>
        <x:v>18</x:v>
      </x:c>
      <x:c r="M1020" s="19" t="n">
        <x:f>(E1020-F1020)*G1020*(1-I1020)</x:f>
        <x:v>42</x:v>
      </x:c>
      <x:c r="N1020" s="19" t="n">
        <x:f>(E1020-F1020)*H1020</x:f>
        <x:v>24</x:v>
      </x:c>
      <x:c r="O1020" s="19" t="n">
        <x:f>F1020*J1020</x:f>
        <x:v>0</x:v>
      </x:c>
      <x:c r="P1020" s="19" t="n">
        <x:f>M1020-N1020-O1020</x:f>
        <x:v>18</x:v>
      </x:c>
    </x:row>
    <x:row r="1021">
      <x:c r="A1021" s="15" t="str">
        <x:v>SIM-1017</x:v>
      </x:c>
      <x:c r="B1021" s="15" t="str">
        <x:v>2026-05</x:v>
      </x:c>
      <x:c r="C1021" s="15" t="str">
        <x:v>Prendas</x:v>
      </x:c>
      <x:c r="D1021" s="15" t="str">
        <x:v>Tienda</x:v>
      </x:c>
      <x:c r="E1021" s="15" t="n">
        <x:v>1</x:v>
      </x:c>
      <x:c r="F1021" s="15" t="n">
        <x:v>0</x:v>
      </x:c>
      <x:c r="G1021" s="19" t="n">
        <x:v>60</x:v>
      </x:c>
      <x:c r="H1021" s="19" t="n">
        <x:v>24</x:v>
      </x:c>
      <x:c r="I1021" s="17" t="n">
        <x:v>0</x:v>
      </x:c>
      <x:c r="J1021" s="19" t="n">
        <x:v>2</x:v>
      </x:c>
      <x:c r="K1021" s="19" t="n">
        <x:f>E1021*G1021</x:f>
        <x:v>60</x:v>
      </x:c>
      <x:c r="L1021" s="19" t="n">
        <x:f>K1021*I1021</x:f>
        <x:v>0</x:v>
      </x:c>
      <x:c r="M1021" s="19" t="n">
        <x:f>(E1021-F1021)*G1021*(1-I1021)</x:f>
        <x:v>60</x:v>
      </x:c>
      <x:c r="N1021" s="19" t="n">
        <x:f>(E1021-F1021)*H1021</x:f>
        <x:v>24</x:v>
      </x:c>
      <x:c r="O1021" s="19" t="n">
        <x:f>F1021*J1021</x:f>
        <x:v>0</x:v>
      </x:c>
      <x:c r="P1021" s="19" t="n">
        <x:f>M1021-N1021-O1021</x:f>
        <x:v>36</x:v>
      </x:c>
    </x:row>
    <x:row r="1022">
      <x:c r="A1022" s="15" t="str">
        <x:v>SIM-1018</x:v>
      </x:c>
      <x:c r="B1022" s="15" t="str">
        <x:v>2026-05</x:v>
      </x:c>
      <x:c r="C1022" s="15" t="str">
        <x:v>Calzado</x:v>
      </x:c>
      <x:c r="D1022" s="15" t="str">
        <x:v>Tienda</x:v>
      </x:c>
      <x:c r="E1022" s="15" t="n">
        <x:v>1</x:v>
      </x:c>
      <x:c r="F1022" s="15" t="n">
        <x:v>0</x:v>
      </x:c>
      <x:c r="G1022" s="19" t="n">
        <x:v>90</x:v>
      </x:c>
      <x:c r="H1022" s="19" t="n">
        <x:v>42</x:v>
      </x:c>
      <x:c r="I1022" s="17" t="n">
        <x:v>0.2</x:v>
      </x:c>
      <x:c r="J1022" s="19" t="n">
        <x:v>2</x:v>
      </x:c>
      <x:c r="K1022" s="19" t="n">
        <x:f>E1022*G1022</x:f>
        <x:v>90</x:v>
      </x:c>
      <x:c r="L1022" s="19" t="n">
        <x:f>K1022*I1022</x:f>
        <x:v>18</x:v>
      </x:c>
      <x:c r="M1022" s="19" t="n">
        <x:f>(E1022-F1022)*G1022*(1-I1022)</x:f>
        <x:v>72</x:v>
      </x:c>
      <x:c r="N1022" s="19" t="n">
        <x:f>(E1022-F1022)*H1022</x:f>
        <x:v>42</x:v>
      </x:c>
      <x:c r="O1022" s="19" t="n">
        <x:f>F1022*J1022</x:f>
        <x:v>0</x:v>
      </x:c>
      <x:c r="P1022" s="19" t="n">
        <x:f>M1022-N1022-O1022</x:f>
        <x:v>30</x:v>
      </x:c>
    </x:row>
    <x:row r="1023">
      <x:c r="A1023" s="15" t="str">
        <x:v>SIM-1019</x:v>
      </x:c>
      <x:c r="B1023" s="15" t="str">
        <x:v>2026-05</x:v>
      </x:c>
      <x:c r="C1023" s="15" t="str">
        <x:v>Prendas</x:v>
      </x:c>
      <x:c r="D1023" s="15" t="str">
        <x:v>Tienda</x:v>
      </x:c>
      <x:c r="E1023" s="15" t="n">
        <x:v>1</x:v>
      </x:c>
      <x:c r="F1023" s="15" t="n">
        <x:v>0</x:v>
      </x:c>
      <x:c r="G1023" s="19" t="n">
        <x:v>60</x:v>
      </x:c>
      <x:c r="H1023" s="19" t="n">
        <x:v>24</x:v>
      </x:c>
      <x:c r="I1023" s="17" t="n">
        <x:v>0</x:v>
      </x:c>
      <x:c r="J1023" s="19" t="n">
        <x:v>2</x:v>
      </x:c>
      <x:c r="K1023" s="19" t="n">
        <x:f>E1023*G1023</x:f>
        <x:v>60</x:v>
      </x:c>
      <x:c r="L1023" s="19" t="n">
        <x:f>K1023*I1023</x:f>
        <x:v>0</x:v>
      </x:c>
      <x:c r="M1023" s="19" t="n">
        <x:f>(E1023-F1023)*G1023*(1-I1023)</x:f>
        <x:v>60</x:v>
      </x:c>
      <x:c r="N1023" s="19" t="n">
        <x:f>(E1023-F1023)*H1023</x:f>
        <x:v>24</x:v>
      </x:c>
      <x:c r="O1023" s="19" t="n">
        <x:f>F1023*J1023</x:f>
        <x:v>0</x:v>
      </x:c>
      <x:c r="P1023" s="19" t="n">
        <x:f>M1023-N1023-O1023</x:f>
        <x:v>36</x:v>
      </x:c>
    </x:row>
    <x:row r="1024">
      <x:c r="A1024" s="15" t="str">
        <x:v>SIM-1020</x:v>
      </x:c>
      <x:c r="B1024" s="15" t="str">
        <x:v>2026-05</x:v>
      </x:c>
      <x:c r="C1024" s="15" t="str">
        <x:v>Prendas</x:v>
      </x:c>
      <x:c r="D1024" s="15" t="str">
        <x:v>Tienda</x:v>
      </x:c>
      <x:c r="E1024" s="15" t="n">
        <x:v>2</x:v>
      </x:c>
      <x:c r="F1024" s="15" t="n">
        <x:v>0</x:v>
      </x:c>
      <x:c r="G1024" s="19" t="n">
        <x:v>60</x:v>
      </x:c>
      <x:c r="H1024" s="19" t="n">
        <x:v>24</x:v>
      </x:c>
      <x:c r="I1024" s="17" t="n">
        <x:v>0</x:v>
      </x:c>
      <x:c r="J1024" s="19" t="n">
        <x:v>2</x:v>
      </x:c>
      <x:c r="K1024" s="19" t="n">
        <x:f>E1024*G1024</x:f>
        <x:v>120</x:v>
      </x:c>
      <x:c r="L1024" s="19" t="n">
        <x:f>K1024*I1024</x:f>
        <x:v>0</x:v>
      </x:c>
      <x:c r="M1024" s="19" t="n">
        <x:f>(E1024-F1024)*G1024*(1-I1024)</x:f>
        <x:v>120</x:v>
      </x:c>
      <x:c r="N1024" s="19" t="n">
        <x:f>(E1024-F1024)*H1024</x:f>
        <x:v>48</x:v>
      </x:c>
      <x:c r="O1024" s="19" t="n">
        <x:f>F1024*J1024</x:f>
        <x:v>0</x:v>
      </x:c>
      <x:c r="P1024" s="19" t="n">
        <x:f>M1024-N1024-O1024</x:f>
        <x:v>72</x:v>
      </x:c>
    </x:row>
    <x:row r="1025">
      <x:c r="A1025" s="15" t="str">
        <x:v>SIM-1021</x:v>
      </x:c>
      <x:c r="B1025" s="15" t="str">
        <x:v>2026-05</x:v>
      </x:c>
      <x:c r="C1025" s="15" t="str">
        <x:v>Prendas</x:v>
      </x:c>
      <x:c r="D1025" s="15" t="str">
        <x:v>Tienda</x:v>
      </x:c>
      <x:c r="E1025" s="15" t="n">
        <x:v>1</x:v>
      </x:c>
      <x:c r="F1025" s="15" t="n">
        <x:v>0</x:v>
      </x:c>
      <x:c r="G1025" s="19" t="n">
        <x:v>60</x:v>
      </x:c>
      <x:c r="H1025" s="19" t="n">
        <x:v>24</x:v>
      </x:c>
      <x:c r="I1025" s="17" t="n">
        <x:v>0.1</x:v>
      </x:c>
      <x:c r="J1025" s="19" t="n">
        <x:v>2</x:v>
      </x:c>
      <x:c r="K1025" s="19" t="n">
        <x:f>E1025*G1025</x:f>
        <x:v>60</x:v>
      </x:c>
      <x:c r="L1025" s="19" t="n">
        <x:f>K1025*I1025</x:f>
        <x:v>6</x:v>
      </x:c>
      <x:c r="M1025" s="19" t="n">
        <x:f>(E1025-F1025)*G1025*(1-I1025)</x:f>
        <x:v>54</x:v>
      </x:c>
      <x:c r="N1025" s="19" t="n">
        <x:f>(E1025-F1025)*H1025</x:f>
        <x:v>24</x:v>
      </x:c>
      <x:c r="O1025" s="19" t="n">
        <x:f>F1025*J1025</x:f>
        <x:v>0</x:v>
      </x:c>
      <x:c r="P1025" s="19" t="n">
        <x:f>M1025-N1025-O1025</x:f>
        <x:v>30</x:v>
      </x:c>
    </x:row>
    <x:row r="1026">
      <x:c r="A1026" s="15" t="str">
        <x:v>SIM-1022</x:v>
      </x:c>
      <x:c r="B1026" s="15" t="str">
        <x:v>2026-05</x:v>
      </x:c>
      <x:c r="C1026" s="15" t="str">
        <x:v>Prendas</x:v>
      </x:c>
      <x:c r="D1026" s="15" t="str">
        <x:v>Tienda</x:v>
      </x:c>
      <x:c r="E1026" s="15" t="n">
        <x:v>1</x:v>
      </x:c>
      <x:c r="F1026" s="15" t="n">
        <x:v>0</x:v>
      </x:c>
      <x:c r="G1026" s="19" t="n">
        <x:v>60</x:v>
      </x:c>
      <x:c r="H1026" s="19" t="n">
        <x:v>24</x:v>
      </x:c>
      <x:c r="I1026" s="17" t="n">
        <x:v>0.3</x:v>
      </x:c>
      <x:c r="J1026" s="19" t="n">
        <x:v>2</x:v>
      </x:c>
      <x:c r="K1026" s="19" t="n">
        <x:f>E1026*G1026</x:f>
        <x:v>60</x:v>
      </x:c>
      <x:c r="L1026" s="19" t="n">
        <x:f>K1026*I1026</x:f>
        <x:v>18</x:v>
      </x:c>
      <x:c r="M1026" s="19" t="n">
        <x:f>(E1026-F1026)*G1026*(1-I1026)</x:f>
        <x:v>42</x:v>
      </x:c>
      <x:c r="N1026" s="19" t="n">
        <x:f>(E1026-F1026)*H1026</x:f>
        <x:v>24</x:v>
      </x:c>
      <x:c r="O1026" s="19" t="n">
        <x:f>F1026*J1026</x:f>
        <x:v>0</x:v>
      </x:c>
      <x:c r="P1026" s="19" t="n">
        <x:f>M1026-N1026-O1026</x:f>
        <x:v>18</x:v>
      </x:c>
    </x:row>
    <x:row r="1027">
      <x:c r="A1027" s="15" t="str">
        <x:v>SIM-1023</x:v>
      </x:c>
      <x:c r="B1027" s="15" t="str">
        <x:v>2026-05</x:v>
      </x:c>
      <x:c r="C1027" s="15" t="str">
        <x:v>Prendas</x:v>
      </x:c>
      <x:c r="D1027" s="15" t="str">
        <x:v>Tienda</x:v>
      </x:c>
      <x:c r="E1027" s="15" t="n">
        <x:v>1</x:v>
      </x:c>
      <x:c r="F1027" s="15" t="n">
        <x:v>0</x:v>
      </x:c>
      <x:c r="G1027" s="19" t="n">
        <x:v>60</x:v>
      </x:c>
      <x:c r="H1027" s="19" t="n">
        <x:v>24</x:v>
      </x:c>
      <x:c r="I1027" s="17" t="n">
        <x:v>0.2</x:v>
      </x:c>
      <x:c r="J1027" s="19" t="n">
        <x:v>2</x:v>
      </x:c>
      <x:c r="K1027" s="19" t="n">
        <x:f>E1027*G1027</x:f>
        <x:v>60</x:v>
      </x:c>
      <x:c r="L1027" s="19" t="n">
        <x:f>K1027*I1027</x:f>
        <x:v>12</x:v>
      </x:c>
      <x:c r="M1027" s="19" t="n">
        <x:f>(E1027-F1027)*G1027*(1-I1027)</x:f>
        <x:v>48</x:v>
      </x:c>
      <x:c r="N1027" s="19" t="n">
        <x:f>(E1027-F1027)*H1027</x:f>
        <x:v>24</x:v>
      </x:c>
      <x:c r="O1027" s="19" t="n">
        <x:f>F1027*J1027</x:f>
        <x:v>0</x:v>
      </x:c>
      <x:c r="P1027" s="19" t="n">
        <x:f>M1027-N1027-O1027</x:f>
        <x:v>24</x:v>
      </x:c>
    </x:row>
    <x:row r="1028">
      <x:c r="A1028" s="15" t="str">
        <x:v>SIM-1024</x:v>
      </x:c>
      <x:c r="B1028" s="15" t="str">
        <x:v>2026-05</x:v>
      </x:c>
      <x:c r="C1028" s="15" t="str">
        <x:v>Prendas</x:v>
      </x:c>
      <x:c r="D1028" s="15" t="str">
        <x:v>Tienda</x:v>
      </x:c>
      <x:c r="E1028" s="15" t="n">
        <x:v>1</x:v>
      </x:c>
      <x:c r="F1028" s="15" t="n">
        <x:v>0</x:v>
      </x:c>
      <x:c r="G1028" s="19" t="n">
        <x:v>60</x:v>
      </x:c>
      <x:c r="H1028" s="19" t="n">
        <x:v>24</x:v>
      </x:c>
      <x:c r="I1028" s="17" t="n">
        <x:v>0</x:v>
      </x:c>
      <x:c r="J1028" s="19" t="n">
        <x:v>2</x:v>
      </x:c>
      <x:c r="K1028" s="19" t="n">
        <x:f>E1028*G1028</x:f>
        <x:v>60</x:v>
      </x:c>
      <x:c r="L1028" s="19" t="n">
        <x:f>K1028*I1028</x:f>
        <x:v>0</x:v>
      </x:c>
      <x:c r="M1028" s="19" t="n">
        <x:f>(E1028-F1028)*G1028*(1-I1028)</x:f>
        <x:v>60</x:v>
      </x:c>
      <x:c r="N1028" s="19" t="n">
        <x:f>(E1028-F1028)*H1028</x:f>
        <x:v>24</x:v>
      </x:c>
      <x:c r="O1028" s="19" t="n">
        <x:f>F1028*J1028</x:f>
        <x:v>0</x:v>
      </x:c>
      <x:c r="P1028" s="19" t="n">
        <x:f>M1028-N1028-O1028</x:f>
        <x:v>36</x:v>
      </x:c>
    </x:row>
    <x:row r="1029">
      <x:c r="A1029" s="15" t="str">
        <x:v>SIM-1025</x:v>
      </x:c>
      <x:c r="B1029" s="15" t="str">
        <x:v>2026-05</x:v>
      </x:c>
      <x:c r="C1029" s="15" t="str">
        <x:v>Calzado</x:v>
      </x:c>
      <x:c r="D1029" s="15" t="str">
        <x:v>Tienda</x:v>
      </x:c>
      <x:c r="E1029" s="15" t="n">
        <x:v>1</x:v>
      </x:c>
      <x:c r="F1029" s="15" t="n">
        <x:v>0</x:v>
      </x:c>
      <x:c r="G1029" s="19" t="n">
        <x:v>90</x:v>
      </x:c>
      <x:c r="H1029" s="19" t="n">
        <x:v>42</x:v>
      </x:c>
      <x:c r="I1029" s="17" t="n">
        <x:v>0.1</x:v>
      </x:c>
      <x:c r="J1029" s="19" t="n">
        <x:v>2</x:v>
      </x:c>
      <x:c r="K1029" s="19" t="n">
        <x:f>E1029*G1029</x:f>
        <x:v>90</x:v>
      </x:c>
      <x:c r="L1029" s="19" t="n">
        <x:f>K1029*I1029</x:f>
        <x:v>9</x:v>
      </x:c>
      <x:c r="M1029" s="19" t="n">
        <x:f>(E1029-F1029)*G1029*(1-I1029)</x:f>
        <x:v>81</x:v>
      </x:c>
      <x:c r="N1029" s="19" t="n">
        <x:f>(E1029-F1029)*H1029</x:f>
        <x:v>42</x:v>
      </x:c>
      <x:c r="O1029" s="19" t="n">
        <x:f>F1029*J1029</x:f>
        <x:v>0</x:v>
      </x:c>
      <x:c r="P1029" s="19" t="n">
        <x:f>M1029-N1029-O1029</x:f>
        <x:v>39</x:v>
      </x:c>
    </x:row>
    <x:row r="1030">
      <x:c r="A1030" s="15" t="str">
        <x:v>SIM-1026</x:v>
      </x:c>
      <x:c r="B1030" s="15" t="str">
        <x:v>2026-05</x:v>
      </x:c>
      <x:c r="C1030" s="15" t="str">
        <x:v>Prendas</x:v>
      </x:c>
      <x:c r="D1030" s="15" t="str">
        <x:v>Tienda</x:v>
      </x:c>
      <x:c r="E1030" s="15" t="n">
        <x:v>1</x:v>
      </x:c>
      <x:c r="F1030" s="15" t="n">
        <x:v>0</x:v>
      </x:c>
      <x:c r="G1030" s="19" t="n">
        <x:v>60</x:v>
      </x:c>
      <x:c r="H1030" s="19" t="n">
        <x:v>24</x:v>
      </x:c>
      <x:c r="I1030" s="17" t="n">
        <x:v>0.1</x:v>
      </x:c>
      <x:c r="J1030" s="19" t="n">
        <x:v>2</x:v>
      </x:c>
      <x:c r="K1030" s="19" t="n">
        <x:f>E1030*G1030</x:f>
        <x:v>60</x:v>
      </x:c>
      <x:c r="L1030" s="19" t="n">
        <x:f>K1030*I1030</x:f>
        <x:v>6</x:v>
      </x:c>
      <x:c r="M1030" s="19" t="n">
        <x:f>(E1030-F1030)*G1030*(1-I1030)</x:f>
        <x:v>54</x:v>
      </x:c>
      <x:c r="N1030" s="19" t="n">
        <x:f>(E1030-F1030)*H1030</x:f>
        <x:v>24</x:v>
      </x:c>
      <x:c r="O1030" s="19" t="n">
        <x:f>F1030*J1030</x:f>
        <x:v>0</x:v>
      </x:c>
      <x:c r="P1030" s="19" t="n">
        <x:f>M1030-N1030-O1030</x:f>
        <x:v>30</x:v>
      </x:c>
    </x:row>
    <x:row r="1031">
      <x:c r="A1031" s="15" t="str">
        <x:v>SIM-1027</x:v>
      </x:c>
      <x:c r="B1031" s="15" t="str">
        <x:v>2026-05</x:v>
      </x:c>
      <x:c r="C1031" s="15" t="str">
        <x:v>Prendas</x:v>
      </x:c>
      <x:c r="D1031" s="15" t="str">
        <x:v>Tienda</x:v>
      </x:c>
      <x:c r="E1031" s="15" t="n">
        <x:v>1</x:v>
      </x:c>
      <x:c r="F1031" s="15" t="n">
        <x:v>0</x:v>
      </x:c>
      <x:c r="G1031" s="19" t="n">
        <x:v>60</x:v>
      </x:c>
      <x:c r="H1031" s="19" t="n">
        <x:v>24</x:v>
      </x:c>
      <x:c r="I1031" s="17" t="n">
        <x:v>0</x:v>
      </x:c>
      <x:c r="J1031" s="19" t="n">
        <x:v>2</x:v>
      </x:c>
      <x:c r="K1031" s="19" t="n">
        <x:f>E1031*G1031</x:f>
        <x:v>60</x:v>
      </x:c>
      <x:c r="L1031" s="19" t="n">
        <x:f>K1031*I1031</x:f>
        <x:v>0</x:v>
      </x:c>
      <x:c r="M1031" s="19" t="n">
        <x:f>(E1031-F1031)*G1031*(1-I1031)</x:f>
        <x:v>60</x:v>
      </x:c>
      <x:c r="N1031" s="19" t="n">
        <x:f>(E1031-F1031)*H1031</x:f>
        <x:v>24</x:v>
      </x:c>
      <x:c r="O1031" s="19" t="n">
        <x:f>F1031*J1031</x:f>
        <x:v>0</x:v>
      </x:c>
      <x:c r="P1031" s="19" t="n">
        <x:f>M1031-N1031-O1031</x:f>
        <x:v>36</x:v>
      </x:c>
    </x:row>
    <x:row r="1032">
      <x:c r="A1032" s="15" t="str">
        <x:v>SIM-1028</x:v>
      </x:c>
      <x:c r="B1032" s="15" t="str">
        <x:v>2026-05</x:v>
      </x:c>
      <x:c r="C1032" s="15" t="str">
        <x:v>Prendas</x:v>
      </x:c>
      <x:c r="D1032" s="15" t="str">
        <x:v>Tienda</x:v>
      </x:c>
      <x:c r="E1032" s="15" t="n">
        <x:v>1</x:v>
      </x:c>
      <x:c r="F1032" s="15" t="n">
        <x:v>0</x:v>
      </x:c>
      <x:c r="G1032" s="19" t="n">
        <x:v>60</x:v>
      </x:c>
      <x:c r="H1032" s="19" t="n">
        <x:v>24</x:v>
      </x:c>
      <x:c r="I1032" s="17" t="n">
        <x:v>0.1</x:v>
      </x:c>
      <x:c r="J1032" s="19" t="n">
        <x:v>2</x:v>
      </x:c>
      <x:c r="K1032" s="19" t="n">
        <x:f>E1032*G1032</x:f>
        <x:v>60</x:v>
      </x:c>
      <x:c r="L1032" s="19" t="n">
        <x:f>K1032*I1032</x:f>
        <x:v>6</x:v>
      </x:c>
      <x:c r="M1032" s="19" t="n">
        <x:f>(E1032-F1032)*G1032*(1-I1032)</x:f>
        <x:v>54</x:v>
      </x:c>
      <x:c r="N1032" s="19" t="n">
        <x:f>(E1032-F1032)*H1032</x:f>
        <x:v>24</x:v>
      </x:c>
      <x:c r="O1032" s="19" t="n">
        <x:f>F1032*J1032</x:f>
        <x:v>0</x:v>
      </x:c>
      <x:c r="P1032" s="19" t="n">
        <x:f>M1032-N1032-O1032</x:f>
        <x:v>30</x:v>
      </x:c>
    </x:row>
    <x:row r="1033">
      <x:c r="A1033" s="15" t="str">
        <x:v>SIM-1029</x:v>
      </x:c>
      <x:c r="B1033" s="15" t="str">
        <x:v>2026-05</x:v>
      </x:c>
      <x:c r="C1033" s="15" t="str">
        <x:v>Prendas</x:v>
      </x:c>
      <x:c r="D1033" s="15" t="str">
        <x:v>Online</x:v>
      </x:c>
      <x:c r="E1033" s="15" t="n">
        <x:v>1</x:v>
      </x:c>
      <x:c r="F1033" s="15" t="n">
        <x:v>1</x:v>
      </x:c>
      <x:c r="G1033" s="19" t="n">
        <x:v>60</x:v>
      </x:c>
      <x:c r="H1033" s="19" t="n">
        <x:v>24</x:v>
      </x:c>
      <x:c r="I1033" s="17" t="n">
        <x:v>0.3</x:v>
      </x:c>
      <x:c r="J1033" s="19" t="n">
        <x:v>6</x:v>
      </x:c>
      <x:c r="K1033" s="19" t="n">
        <x:f>E1033*G1033</x:f>
        <x:v>60</x:v>
      </x:c>
      <x:c r="L1033" s="19" t="n">
        <x:f>K1033*I1033</x:f>
        <x:v>18</x:v>
      </x:c>
      <x:c r="M1033" s="19" t="n">
        <x:f>(E1033-F1033)*G1033*(1-I1033)</x:f>
        <x:v>0</x:v>
      </x:c>
      <x:c r="N1033" s="19" t="n">
        <x:f>(E1033-F1033)*H1033</x:f>
        <x:v>0</x:v>
      </x:c>
      <x:c r="O1033" s="19" t="n">
        <x:f>F1033*J1033</x:f>
        <x:v>6</x:v>
      </x:c>
      <x:c r="P1033" s="19" t="n">
        <x:f>M1033-N1033-O1033</x:f>
        <x:v>-6</x:v>
      </x:c>
    </x:row>
    <x:row r="1034">
      <x:c r="A1034" s="15" t="str">
        <x:v>SIM-1030</x:v>
      </x:c>
      <x:c r="B1034" s="15" t="str">
        <x:v>2026-05</x:v>
      </x:c>
      <x:c r="C1034" s="15" t="str">
        <x:v>Accesorios</x:v>
      </x:c>
      <x:c r="D1034" s="15" t="str">
        <x:v>Tienda</x:v>
      </x:c>
      <x:c r="E1034" s="15" t="n">
        <x:v>1</x:v>
      </x:c>
      <x:c r="F1034" s="15" t="n">
        <x:v>0</x:v>
      </x:c>
      <x:c r="G1034" s="19" t="n">
        <x:v>30</x:v>
      </x:c>
      <x:c r="H1034" s="19" t="n">
        <x:v>9</x:v>
      </x:c>
      <x:c r="I1034" s="17" t="n">
        <x:v>0</x:v>
      </x:c>
      <x:c r="J1034" s="19" t="n">
        <x:v>2</x:v>
      </x:c>
      <x:c r="K1034" s="19" t="n">
        <x:f>E1034*G1034</x:f>
        <x:v>30</x:v>
      </x:c>
      <x:c r="L1034" s="19" t="n">
        <x:f>K1034*I1034</x:f>
        <x:v>0</x:v>
      </x:c>
      <x:c r="M1034" s="19" t="n">
        <x:f>(E1034-F1034)*G1034*(1-I1034)</x:f>
        <x:v>30</x:v>
      </x:c>
      <x:c r="N1034" s="19" t="n">
        <x:f>(E1034-F1034)*H1034</x:f>
        <x:v>9</x:v>
      </x:c>
      <x:c r="O1034" s="19" t="n">
        <x:f>F1034*J1034</x:f>
        <x:v>0</x:v>
      </x:c>
      <x:c r="P1034" s="19" t="n">
        <x:f>M1034-N1034-O1034</x:f>
        <x:v>21</x:v>
      </x:c>
    </x:row>
    <x:row r="1035">
      <x:c r="A1035" s="15" t="str">
        <x:v>SIM-1031</x:v>
      </x:c>
      <x:c r="B1035" s="15" t="str">
        <x:v>2026-05</x:v>
      </x:c>
      <x:c r="C1035" s="15" t="str">
        <x:v>Prendas</x:v>
      </x:c>
      <x:c r="D1035" s="15" t="str">
        <x:v>Tienda</x:v>
      </x:c>
      <x:c r="E1035" s="15" t="n">
        <x:v>3</x:v>
      </x:c>
      <x:c r="F1035" s="15" t="n">
        <x:v>1</x:v>
      </x:c>
      <x:c r="G1035" s="19" t="n">
        <x:v>60</x:v>
      </x:c>
      <x:c r="H1035" s="19" t="n">
        <x:v>24</x:v>
      </x:c>
      <x:c r="I1035" s="17" t="n">
        <x:v>0.2</x:v>
      </x:c>
      <x:c r="J1035" s="19" t="n">
        <x:v>2</x:v>
      </x:c>
      <x:c r="K1035" s="19" t="n">
        <x:f>E1035*G1035</x:f>
        <x:v>180</x:v>
      </x:c>
      <x:c r="L1035" s="19" t="n">
        <x:f>K1035*I1035</x:f>
        <x:v>36</x:v>
      </x:c>
      <x:c r="M1035" s="19" t="n">
        <x:f>(E1035-F1035)*G1035*(1-I1035)</x:f>
        <x:v>96</x:v>
      </x:c>
      <x:c r="N1035" s="19" t="n">
        <x:f>(E1035-F1035)*H1035</x:f>
        <x:v>48</x:v>
      </x:c>
      <x:c r="O1035" s="19" t="n">
        <x:f>F1035*J1035</x:f>
        <x:v>2</x:v>
      </x:c>
      <x:c r="P1035" s="19" t="n">
        <x:f>M1035-N1035-O1035</x:f>
        <x:v>46</x:v>
      </x:c>
    </x:row>
    <x:row r="1036">
      <x:c r="A1036" s="15" t="str">
        <x:v>SIM-1032</x:v>
      </x:c>
      <x:c r="B1036" s="15" t="str">
        <x:v>2026-05</x:v>
      </x:c>
      <x:c r="C1036" s="15" t="str">
        <x:v>Prendas</x:v>
      </x:c>
      <x:c r="D1036" s="15" t="str">
        <x:v>Online</x:v>
      </x:c>
      <x:c r="E1036" s="15" t="n">
        <x:v>1</x:v>
      </x:c>
      <x:c r="F1036" s="15" t="n">
        <x:v>0</x:v>
      </x:c>
      <x:c r="G1036" s="19" t="n">
        <x:v>60</x:v>
      </x:c>
      <x:c r="H1036" s="19" t="n">
        <x:v>24</x:v>
      </x:c>
      <x:c r="I1036" s="17" t="n">
        <x:v>0.3</x:v>
      </x:c>
      <x:c r="J1036" s="19" t="n">
        <x:v>6</x:v>
      </x:c>
      <x:c r="K1036" s="19" t="n">
        <x:f>E1036*G1036</x:f>
        <x:v>60</x:v>
      </x:c>
      <x:c r="L1036" s="19" t="n">
        <x:f>K1036*I1036</x:f>
        <x:v>18</x:v>
      </x:c>
      <x:c r="M1036" s="19" t="n">
        <x:f>(E1036-F1036)*G1036*(1-I1036)</x:f>
        <x:v>42</x:v>
      </x:c>
      <x:c r="N1036" s="19" t="n">
        <x:f>(E1036-F1036)*H1036</x:f>
        <x:v>24</x:v>
      </x:c>
      <x:c r="O1036" s="19" t="n">
        <x:f>F1036*J1036</x:f>
        <x:v>0</x:v>
      </x:c>
      <x:c r="P1036" s="19" t="n">
        <x:f>M1036-N1036-O1036</x:f>
        <x:v>18</x:v>
      </x:c>
    </x:row>
    <x:row r="1037">
      <x:c r="A1037" s="15" t="str">
        <x:v>SIM-1033</x:v>
      </x:c>
      <x:c r="B1037" s="15" t="str">
        <x:v>2026-05</x:v>
      </x:c>
      <x:c r="C1037" s="15" t="str">
        <x:v>Calzado</x:v>
      </x:c>
      <x:c r="D1037" s="15" t="str">
        <x:v>Tienda</x:v>
      </x:c>
      <x:c r="E1037" s="15" t="n">
        <x:v>1</x:v>
      </x:c>
      <x:c r="F1037" s="15" t="n">
        <x:v>0</x:v>
      </x:c>
      <x:c r="G1037" s="19" t="n">
        <x:v>90</x:v>
      </x:c>
      <x:c r="H1037" s="19" t="n">
        <x:v>42</x:v>
      </x:c>
      <x:c r="I1037" s="17" t="n">
        <x:v>0</x:v>
      </x:c>
      <x:c r="J1037" s="19" t="n">
        <x:v>2</x:v>
      </x:c>
      <x:c r="K1037" s="19" t="n">
        <x:f>E1037*G1037</x:f>
        <x:v>90</x:v>
      </x:c>
      <x:c r="L1037" s="19" t="n">
        <x:f>K1037*I1037</x:f>
        <x:v>0</x:v>
      </x:c>
      <x:c r="M1037" s="19" t="n">
        <x:f>(E1037-F1037)*G1037*(1-I1037)</x:f>
        <x:v>90</x:v>
      </x:c>
      <x:c r="N1037" s="19" t="n">
        <x:f>(E1037-F1037)*H1037</x:f>
        <x:v>42</x:v>
      </x:c>
      <x:c r="O1037" s="19" t="n">
        <x:f>F1037*J1037</x:f>
        <x:v>0</x:v>
      </x:c>
      <x:c r="P1037" s="19" t="n">
        <x:f>M1037-N1037-O1037</x:f>
        <x:v>48</x:v>
      </x:c>
    </x:row>
    <x:row r="1038">
      <x:c r="A1038" s="15" t="str">
        <x:v>SIM-1034</x:v>
      </x:c>
      <x:c r="B1038" s="15" t="str">
        <x:v>2026-05</x:v>
      </x:c>
      <x:c r="C1038" s="15" t="str">
        <x:v>Calzado</x:v>
      </x:c>
      <x:c r="D1038" s="15" t="str">
        <x:v>Tienda</x:v>
      </x:c>
      <x:c r="E1038" s="15" t="n">
        <x:v>2</x:v>
      </x:c>
      <x:c r="F1038" s="15" t="n">
        <x:v>0</x:v>
      </x:c>
      <x:c r="G1038" s="19" t="n">
        <x:v>90</x:v>
      </x:c>
      <x:c r="H1038" s="19" t="n">
        <x:v>42</x:v>
      </x:c>
      <x:c r="I1038" s="17" t="n">
        <x:v>0.3</x:v>
      </x:c>
      <x:c r="J1038" s="19" t="n">
        <x:v>2</x:v>
      </x:c>
      <x:c r="K1038" s="19" t="n">
        <x:f>E1038*G1038</x:f>
        <x:v>180</x:v>
      </x:c>
      <x:c r="L1038" s="19" t="n">
        <x:f>K1038*I1038</x:f>
        <x:v>54</x:v>
      </x:c>
      <x:c r="M1038" s="19" t="n">
        <x:f>(E1038-F1038)*G1038*(1-I1038)</x:f>
        <x:v>125.99999999999999</x:v>
      </x:c>
      <x:c r="N1038" s="19" t="n">
        <x:f>(E1038-F1038)*H1038</x:f>
        <x:v>84</x:v>
      </x:c>
      <x:c r="O1038" s="19" t="n">
        <x:f>F1038*J1038</x:f>
        <x:v>0</x:v>
      </x:c>
      <x:c r="P1038" s="19" t="n">
        <x:f>M1038-N1038-O1038</x:f>
        <x:v>41.999999999999986</x:v>
      </x:c>
    </x:row>
    <x:row r="1039">
      <x:c r="A1039" s="15" t="str">
        <x:v>SIM-1035</x:v>
      </x:c>
      <x:c r="B1039" s="15" t="str">
        <x:v>2026-05</x:v>
      </x:c>
      <x:c r="C1039" s="15" t="str">
        <x:v>Prendas</x:v>
      </x:c>
      <x:c r="D1039" s="15" t="str">
        <x:v>Online</x:v>
      </x:c>
      <x:c r="E1039" s="15" t="n">
        <x:v>1</x:v>
      </x:c>
      <x:c r="F1039" s="15" t="n">
        <x:v>0</x:v>
      </x:c>
      <x:c r="G1039" s="19" t="n">
        <x:v>60</x:v>
      </x:c>
      <x:c r="H1039" s="19" t="n">
        <x:v>24</x:v>
      </x:c>
      <x:c r="I1039" s="17" t="n">
        <x:v>0</x:v>
      </x:c>
      <x:c r="J1039" s="19" t="n">
        <x:v>6</x:v>
      </x:c>
      <x:c r="K1039" s="19" t="n">
        <x:f>E1039*G1039</x:f>
        <x:v>60</x:v>
      </x:c>
      <x:c r="L1039" s="19" t="n">
        <x:f>K1039*I1039</x:f>
        <x:v>0</x:v>
      </x:c>
      <x:c r="M1039" s="19" t="n">
        <x:f>(E1039-F1039)*G1039*(1-I1039)</x:f>
        <x:v>60</x:v>
      </x:c>
      <x:c r="N1039" s="19" t="n">
        <x:f>(E1039-F1039)*H1039</x:f>
        <x:v>24</x:v>
      </x:c>
      <x:c r="O1039" s="19" t="n">
        <x:f>F1039*J1039</x:f>
        <x:v>0</x:v>
      </x:c>
      <x:c r="P1039" s="19" t="n">
        <x:f>M1039-N1039-O1039</x:f>
        <x:v>36</x:v>
      </x:c>
    </x:row>
    <x:row r="1040">
      <x:c r="A1040" s="15" t="str">
        <x:v>SIM-1036</x:v>
      </x:c>
      <x:c r="B1040" s="15" t="str">
        <x:v>2026-05</x:v>
      </x:c>
      <x:c r="C1040" s="15" t="str">
        <x:v>Prendas</x:v>
      </x:c>
      <x:c r="D1040" s="15" t="str">
        <x:v>Online</x:v>
      </x:c>
      <x:c r="E1040" s="15" t="n">
        <x:v>2</x:v>
      </x:c>
      <x:c r="F1040" s="15" t="n">
        <x:v>0</x:v>
      </x:c>
      <x:c r="G1040" s="19" t="n">
        <x:v>60</x:v>
      </x:c>
      <x:c r="H1040" s="19" t="n">
        <x:v>24</x:v>
      </x:c>
      <x:c r="I1040" s="17" t="n">
        <x:v>0.2</x:v>
      </x:c>
      <x:c r="J1040" s="19" t="n">
        <x:v>6</x:v>
      </x:c>
      <x:c r="K1040" s="19" t="n">
        <x:f>E1040*G1040</x:f>
        <x:v>120</x:v>
      </x:c>
      <x:c r="L1040" s="19" t="n">
        <x:f>K1040*I1040</x:f>
        <x:v>24</x:v>
      </x:c>
      <x:c r="M1040" s="19" t="n">
        <x:f>(E1040-F1040)*G1040*(1-I1040)</x:f>
        <x:v>96</x:v>
      </x:c>
      <x:c r="N1040" s="19" t="n">
        <x:f>(E1040-F1040)*H1040</x:f>
        <x:v>48</x:v>
      </x:c>
      <x:c r="O1040" s="19" t="n">
        <x:f>F1040*J1040</x:f>
        <x:v>0</x:v>
      </x:c>
      <x:c r="P1040" s="19" t="n">
        <x:f>M1040-N1040-O1040</x:f>
        <x:v>48</x:v>
      </x:c>
    </x:row>
    <x:row r="1041">
      <x:c r="A1041" s="15" t="str">
        <x:v>SIM-1037</x:v>
      </x:c>
      <x:c r="B1041" s="15" t="str">
        <x:v>2026-05</x:v>
      </x:c>
      <x:c r="C1041" s="15" t="str">
        <x:v>Accesorios</x:v>
      </x:c>
      <x:c r="D1041" s="15" t="str">
        <x:v>Tienda</x:v>
      </x:c>
      <x:c r="E1041" s="15" t="n">
        <x:v>1</x:v>
      </x:c>
      <x:c r="F1041" s="15" t="n">
        <x:v>0</x:v>
      </x:c>
      <x:c r="G1041" s="19" t="n">
        <x:v>30</x:v>
      </x:c>
      <x:c r="H1041" s="19" t="n">
        <x:v>9</x:v>
      </x:c>
      <x:c r="I1041" s="17" t="n">
        <x:v>0</x:v>
      </x:c>
      <x:c r="J1041" s="19" t="n">
        <x:v>2</x:v>
      </x:c>
      <x:c r="K1041" s="19" t="n">
        <x:f>E1041*G1041</x:f>
        <x:v>30</x:v>
      </x:c>
      <x:c r="L1041" s="19" t="n">
        <x:f>K1041*I1041</x:f>
        <x:v>0</x:v>
      </x:c>
      <x:c r="M1041" s="19" t="n">
        <x:f>(E1041-F1041)*G1041*(1-I1041)</x:f>
        <x:v>30</x:v>
      </x:c>
      <x:c r="N1041" s="19" t="n">
        <x:f>(E1041-F1041)*H1041</x:f>
        <x:v>9</x:v>
      </x:c>
      <x:c r="O1041" s="19" t="n">
        <x:f>F1041*J1041</x:f>
        <x:v>0</x:v>
      </x:c>
      <x:c r="P1041" s="19" t="n">
        <x:f>M1041-N1041-O1041</x:f>
        <x:v>21</x:v>
      </x:c>
    </x:row>
    <x:row r="1042">
      <x:c r="A1042" s="15" t="str">
        <x:v>SIM-1038</x:v>
      </x:c>
      <x:c r="B1042" s="15" t="str">
        <x:v>2026-05</x:v>
      </x:c>
      <x:c r="C1042" s="15" t="str">
        <x:v>Calzado</x:v>
      </x:c>
      <x:c r="D1042" s="15" t="str">
        <x:v>Online</x:v>
      </x:c>
      <x:c r="E1042" s="15" t="n">
        <x:v>1</x:v>
      </x:c>
      <x:c r="F1042" s="15" t="n">
        <x:v>0</x:v>
      </x:c>
      <x:c r="G1042" s="19" t="n">
        <x:v>90</x:v>
      </x:c>
      <x:c r="H1042" s="19" t="n">
        <x:v>42</x:v>
      </x:c>
      <x:c r="I1042" s="17" t="n">
        <x:v>0.2</x:v>
      </x:c>
      <x:c r="J1042" s="19" t="n">
        <x:v>6</x:v>
      </x:c>
      <x:c r="K1042" s="19" t="n">
        <x:f>E1042*G1042</x:f>
        <x:v>90</x:v>
      </x:c>
      <x:c r="L1042" s="19" t="n">
        <x:f>K1042*I1042</x:f>
        <x:v>18</x:v>
      </x:c>
      <x:c r="M1042" s="19" t="n">
        <x:f>(E1042-F1042)*G1042*(1-I1042)</x:f>
        <x:v>72</x:v>
      </x:c>
      <x:c r="N1042" s="19" t="n">
        <x:f>(E1042-F1042)*H1042</x:f>
        <x:v>42</x:v>
      </x:c>
      <x:c r="O1042" s="19" t="n">
        <x:f>F1042*J1042</x:f>
        <x:v>0</x:v>
      </x:c>
      <x:c r="P1042" s="19" t="n">
        <x:f>M1042-N1042-O1042</x:f>
        <x:v>30</x:v>
      </x:c>
    </x:row>
    <x:row r="1043">
      <x:c r="A1043" s="15" t="str">
        <x:v>SIM-1039</x:v>
      </x:c>
      <x:c r="B1043" s="15" t="str">
        <x:v>2026-05</x:v>
      </x:c>
      <x:c r="C1043" s="15" t="str">
        <x:v>Accesorios</x:v>
      </x:c>
      <x:c r="D1043" s="15" t="str">
        <x:v>Online</x:v>
      </x:c>
      <x:c r="E1043" s="15" t="n">
        <x:v>1</x:v>
      </x:c>
      <x:c r="F1043" s="15" t="n">
        <x:v>0</x:v>
      </x:c>
      <x:c r="G1043" s="19" t="n">
        <x:v>30</x:v>
      </x:c>
      <x:c r="H1043" s="19" t="n">
        <x:v>9</x:v>
      </x:c>
      <x:c r="I1043" s="17" t="n">
        <x:v>0.3</x:v>
      </x:c>
      <x:c r="J1043" s="19" t="n">
        <x:v>6</x:v>
      </x:c>
      <x:c r="K1043" s="19" t="n">
        <x:f>E1043*G1043</x:f>
        <x:v>30</x:v>
      </x:c>
      <x:c r="L1043" s="19" t="n">
        <x:f>K1043*I1043</x:f>
        <x:v>9</x:v>
      </x:c>
      <x:c r="M1043" s="19" t="n">
        <x:f>(E1043-F1043)*G1043*(1-I1043)</x:f>
        <x:v>21</x:v>
      </x:c>
      <x:c r="N1043" s="19" t="n">
        <x:f>(E1043-F1043)*H1043</x:f>
        <x:v>9</x:v>
      </x:c>
      <x:c r="O1043" s="19" t="n">
        <x:f>F1043*J1043</x:f>
        <x:v>0</x:v>
      </x:c>
      <x:c r="P1043" s="19" t="n">
        <x:f>M1043-N1043-O1043</x:f>
        <x:v>12</x:v>
      </x:c>
    </x:row>
    <x:row r="1044">
      <x:c r="A1044" s="15" t="str">
        <x:v>SIM-1040</x:v>
      </x:c>
      <x:c r="B1044" s="15" t="str">
        <x:v>2026-05</x:v>
      </x:c>
      <x:c r="C1044" s="15" t="str">
        <x:v>Prendas</x:v>
      </x:c>
      <x:c r="D1044" s="15" t="str">
        <x:v>Online</x:v>
      </x:c>
      <x:c r="E1044" s="15" t="n">
        <x:v>1</x:v>
      </x:c>
      <x:c r="F1044" s="15" t="n">
        <x:v>0</x:v>
      </x:c>
      <x:c r="G1044" s="19" t="n">
        <x:v>60</x:v>
      </x:c>
      <x:c r="H1044" s="19" t="n">
        <x:v>24</x:v>
      </x:c>
      <x:c r="I1044" s="17" t="n">
        <x:v>0.2</x:v>
      </x:c>
      <x:c r="J1044" s="19" t="n">
        <x:v>6</x:v>
      </x:c>
      <x:c r="K1044" s="19" t="n">
        <x:f>E1044*G1044</x:f>
        <x:v>60</x:v>
      </x:c>
      <x:c r="L1044" s="19" t="n">
        <x:f>K1044*I1044</x:f>
        <x:v>12</x:v>
      </x:c>
      <x:c r="M1044" s="19" t="n">
        <x:f>(E1044-F1044)*G1044*(1-I1044)</x:f>
        <x:v>48</x:v>
      </x:c>
      <x:c r="N1044" s="19" t="n">
        <x:f>(E1044-F1044)*H1044</x:f>
        <x:v>24</x:v>
      </x:c>
      <x:c r="O1044" s="19" t="n">
        <x:f>F1044*J1044</x:f>
        <x:v>0</x:v>
      </x:c>
      <x:c r="P1044" s="19" t="n">
        <x:f>M1044-N1044-O1044</x:f>
        <x:v>24</x:v>
      </x:c>
    </x:row>
    <x:row r="1045">
      <x:c r="A1045" s="15" t="str">
        <x:v>SIM-1041</x:v>
      </x:c>
      <x:c r="B1045" s="15" t="str">
        <x:v>2026-05</x:v>
      </x:c>
      <x:c r="C1045" s="15" t="str">
        <x:v>Prendas</x:v>
      </x:c>
      <x:c r="D1045" s="15" t="str">
        <x:v>Online</x:v>
      </x:c>
      <x:c r="E1045" s="15" t="n">
        <x:v>1</x:v>
      </x:c>
      <x:c r="F1045" s="15" t="n">
        <x:v>0</x:v>
      </x:c>
      <x:c r="G1045" s="19" t="n">
        <x:v>60</x:v>
      </x:c>
      <x:c r="H1045" s="19" t="n">
        <x:v>24</x:v>
      </x:c>
      <x:c r="I1045" s="17" t="n">
        <x:v>0.3</x:v>
      </x:c>
      <x:c r="J1045" s="19" t="n">
        <x:v>6</x:v>
      </x:c>
      <x:c r="K1045" s="19" t="n">
        <x:f>E1045*G1045</x:f>
        <x:v>60</x:v>
      </x:c>
      <x:c r="L1045" s="19" t="n">
        <x:f>K1045*I1045</x:f>
        <x:v>18</x:v>
      </x:c>
      <x:c r="M1045" s="19" t="n">
        <x:f>(E1045-F1045)*G1045*(1-I1045)</x:f>
        <x:v>42</x:v>
      </x:c>
      <x:c r="N1045" s="19" t="n">
        <x:f>(E1045-F1045)*H1045</x:f>
        <x:v>24</x:v>
      </x:c>
      <x:c r="O1045" s="19" t="n">
        <x:f>F1045*J1045</x:f>
        <x:v>0</x:v>
      </x:c>
      <x:c r="P1045" s="19" t="n">
        <x:f>M1045-N1045-O1045</x:f>
        <x:v>18</x:v>
      </x:c>
    </x:row>
    <x:row r="1046">
      <x:c r="A1046" s="15" t="str">
        <x:v>SIM-1042</x:v>
      </x:c>
      <x:c r="B1046" s="15" t="str">
        <x:v>2026-05</x:v>
      </x:c>
      <x:c r="C1046" s="15" t="str">
        <x:v>Prendas</x:v>
      </x:c>
      <x:c r="D1046" s="15" t="str">
        <x:v>Tienda</x:v>
      </x:c>
      <x:c r="E1046" s="15" t="n">
        <x:v>1</x:v>
      </x:c>
      <x:c r="F1046" s="15" t="n">
        <x:v>0</x:v>
      </x:c>
      <x:c r="G1046" s="19" t="n">
        <x:v>60</x:v>
      </x:c>
      <x:c r="H1046" s="19" t="n">
        <x:v>24</x:v>
      </x:c>
      <x:c r="I1046" s="17" t="n">
        <x:v>0</x:v>
      </x:c>
      <x:c r="J1046" s="19" t="n">
        <x:v>2</x:v>
      </x:c>
      <x:c r="K1046" s="19" t="n">
        <x:f>E1046*G1046</x:f>
        <x:v>60</x:v>
      </x:c>
      <x:c r="L1046" s="19" t="n">
        <x:f>K1046*I1046</x:f>
        <x:v>0</x:v>
      </x:c>
      <x:c r="M1046" s="19" t="n">
        <x:f>(E1046-F1046)*G1046*(1-I1046)</x:f>
        <x:v>60</x:v>
      </x:c>
      <x:c r="N1046" s="19" t="n">
        <x:f>(E1046-F1046)*H1046</x:f>
        <x:v>24</x:v>
      </x:c>
      <x:c r="O1046" s="19" t="n">
        <x:f>F1046*J1046</x:f>
        <x:v>0</x:v>
      </x:c>
      <x:c r="P1046" s="19" t="n">
        <x:f>M1046-N1046-O1046</x:f>
        <x:v>36</x:v>
      </x:c>
    </x:row>
    <x:row r="1047">
      <x:c r="A1047" s="15" t="str">
        <x:v>SIM-1043</x:v>
      </x:c>
      <x:c r="B1047" s="15" t="str">
        <x:v>2026-05</x:v>
      </x:c>
      <x:c r="C1047" s="15" t="str">
        <x:v>Prendas</x:v>
      </x:c>
      <x:c r="D1047" s="15" t="str">
        <x:v>Tienda</x:v>
      </x:c>
      <x:c r="E1047" s="15" t="n">
        <x:v>3</x:v>
      </x:c>
      <x:c r="F1047" s="15" t="n">
        <x:v>0</x:v>
      </x:c>
      <x:c r="G1047" s="19" t="n">
        <x:v>60</x:v>
      </x:c>
      <x:c r="H1047" s="19" t="n">
        <x:v>24</x:v>
      </x:c>
      <x:c r="I1047" s="17" t="n">
        <x:v>0</x:v>
      </x:c>
      <x:c r="J1047" s="19" t="n">
        <x:v>2</x:v>
      </x:c>
      <x:c r="K1047" s="19" t="n">
        <x:f>E1047*G1047</x:f>
        <x:v>180</x:v>
      </x:c>
      <x:c r="L1047" s="19" t="n">
        <x:f>K1047*I1047</x:f>
        <x:v>0</x:v>
      </x:c>
      <x:c r="M1047" s="19" t="n">
        <x:f>(E1047-F1047)*G1047*(1-I1047)</x:f>
        <x:v>180</x:v>
      </x:c>
      <x:c r="N1047" s="19" t="n">
        <x:f>(E1047-F1047)*H1047</x:f>
        <x:v>72</x:v>
      </x:c>
      <x:c r="O1047" s="19" t="n">
        <x:f>F1047*J1047</x:f>
        <x:v>0</x:v>
      </x:c>
      <x:c r="P1047" s="19" t="n">
        <x:f>M1047-N1047-O1047</x:f>
        <x:v>108</x:v>
      </x:c>
    </x:row>
    <x:row r="1048">
      <x:c r="A1048" s="15" t="str">
        <x:v>SIM-1044</x:v>
      </x:c>
      <x:c r="B1048" s="15" t="str">
        <x:v>2026-05</x:v>
      </x:c>
      <x:c r="C1048" s="15" t="str">
        <x:v>Calzado</x:v>
      </x:c>
      <x:c r="D1048" s="15" t="str">
        <x:v>Tienda</x:v>
      </x:c>
      <x:c r="E1048" s="15" t="n">
        <x:v>1</x:v>
      </x:c>
      <x:c r="F1048" s="15" t="n">
        <x:v>0</x:v>
      </x:c>
      <x:c r="G1048" s="19" t="n">
        <x:v>90</x:v>
      </x:c>
      <x:c r="H1048" s="19" t="n">
        <x:v>42</x:v>
      </x:c>
      <x:c r="I1048" s="17" t="n">
        <x:v>0.3</x:v>
      </x:c>
      <x:c r="J1048" s="19" t="n">
        <x:v>2</x:v>
      </x:c>
      <x:c r="K1048" s="19" t="n">
        <x:f>E1048*G1048</x:f>
        <x:v>90</x:v>
      </x:c>
      <x:c r="L1048" s="19" t="n">
        <x:f>K1048*I1048</x:f>
        <x:v>27</x:v>
      </x:c>
      <x:c r="M1048" s="19" t="n">
        <x:f>(E1048-F1048)*G1048*(1-I1048)</x:f>
        <x:v>62.99999999999999</x:v>
      </x:c>
      <x:c r="N1048" s="19" t="n">
        <x:f>(E1048-F1048)*H1048</x:f>
        <x:v>42</x:v>
      </x:c>
      <x:c r="O1048" s="19" t="n">
        <x:f>F1048*J1048</x:f>
        <x:v>0</x:v>
      </x:c>
      <x:c r="P1048" s="19" t="n">
        <x:f>M1048-N1048-O1048</x:f>
        <x:v>20.999999999999993</x:v>
      </x:c>
    </x:row>
    <x:row r="1049">
      <x:c r="A1049" s="15" t="str">
        <x:v>SIM-1045</x:v>
      </x:c>
      <x:c r="B1049" s="15" t="str">
        <x:v>2026-05</x:v>
      </x:c>
      <x:c r="C1049" s="15" t="str">
        <x:v>Prendas</x:v>
      </x:c>
      <x:c r="D1049" s="15" t="str">
        <x:v>Online</x:v>
      </x:c>
      <x:c r="E1049" s="15" t="n">
        <x:v>1</x:v>
      </x:c>
      <x:c r="F1049" s="15" t="n">
        <x:v>1</x:v>
      </x:c>
      <x:c r="G1049" s="19" t="n">
        <x:v>60</x:v>
      </x:c>
      <x:c r="H1049" s="19" t="n">
        <x:v>24</x:v>
      </x:c>
      <x:c r="I1049" s="17" t="n">
        <x:v>0.1</x:v>
      </x:c>
      <x:c r="J1049" s="19" t="n">
        <x:v>6</x:v>
      </x:c>
      <x:c r="K1049" s="19" t="n">
        <x:f>E1049*G1049</x:f>
        <x:v>60</x:v>
      </x:c>
      <x:c r="L1049" s="19" t="n">
        <x:f>K1049*I1049</x:f>
        <x:v>6</x:v>
      </x:c>
      <x:c r="M1049" s="19" t="n">
        <x:f>(E1049-F1049)*G1049*(1-I1049)</x:f>
        <x:v>0</x:v>
      </x:c>
      <x:c r="N1049" s="19" t="n">
        <x:f>(E1049-F1049)*H1049</x:f>
        <x:v>0</x:v>
      </x:c>
      <x:c r="O1049" s="19" t="n">
        <x:f>F1049*J1049</x:f>
        <x:v>6</x:v>
      </x:c>
      <x:c r="P1049" s="19" t="n">
        <x:f>M1049-N1049-O1049</x:f>
        <x:v>-6</x:v>
      </x:c>
    </x:row>
    <x:row r="1050">
      <x:c r="A1050" s="15" t="str">
        <x:v>SIM-1046</x:v>
      </x:c>
      <x:c r="B1050" s="15" t="str">
        <x:v>2026-05</x:v>
      </x:c>
      <x:c r="C1050" s="15" t="str">
        <x:v>Accesorios</x:v>
      </x:c>
      <x:c r="D1050" s="15" t="str">
        <x:v>Tienda</x:v>
      </x:c>
      <x:c r="E1050" s="15" t="n">
        <x:v>1</x:v>
      </x:c>
      <x:c r="F1050" s="15" t="n">
        <x:v>0</x:v>
      </x:c>
      <x:c r="G1050" s="19" t="n">
        <x:v>30</x:v>
      </x:c>
      <x:c r="H1050" s="19" t="n">
        <x:v>9</x:v>
      </x:c>
      <x:c r="I1050" s="17" t="n">
        <x:v>0.1</x:v>
      </x:c>
      <x:c r="J1050" s="19" t="n">
        <x:v>2</x:v>
      </x:c>
      <x:c r="K1050" s="19" t="n">
        <x:f>E1050*G1050</x:f>
        <x:v>30</x:v>
      </x:c>
      <x:c r="L1050" s="19" t="n">
        <x:f>K1050*I1050</x:f>
        <x:v>3</x:v>
      </x:c>
      <x:c r="M1050" s="19" t="n">
        <x:f>(E1050-F1050)*G1050*(1-I1050)</x:f>
        <x:v>27</x:v>
      </x:c>
      <x:c r="N1050" s="19" t="n">
        <x:f>(E1050-F1050)*H1050</x:f>
        <x:v>9</x:v>
      </x:c>
      <x:c r="O1050" s="19" t="n">
        <x:f>F1050*J1050</x:f>
        <x:v>0</x:v>
      </x:c>
      <x:c r="P1050" s="19" t="n">
        <x:f>M1050-N1050-O1050</x:f>
        <x:v>18</x:v>
      </x:c>
    </x:row>
    <x:row r="1051">
      <x:c r="A1051" s="15" t="str">
        <x:v>SIM-1047</x:v>
      </x:c>
      <x:c r="B1051" s="15" t="str">
        <x:v>2026-05</x:v>
      </x:c>
      <x:c r="C1051" s="15" t="str">
        <x:v>Prendas</x:v>
      </x:c>
      <x:c r="D1051" s="15" t="str">
        <x:v>Tienda</x:v>
      </x:c>
      <x:c r="E1051" s="15" t="n">
        <x:v>1</x:v>
      </x:c>
      <x:c r="F1051" s="15" t="n">
        <x:v>0</x:v>
      </x:c>
      <x:c r="G1051" s="19" t="n">
        <x:v>60</x:v>
      </x:c>
      <x:c r="H1051" s="19" t="n">
        <x:v>24</x:v>
      </x:c>
      <x:c r="I1051" s="17" t="n">
        <x:v>0.1</x:v>
      </x:c>
      <x:c r="J1051" s="19" t="n">
        <x:v>2</x:v>
      </x:c>
      <x:c r="K1051" s="19" t="n">
        <x:f>E1051*G1051</x:f>
        <x:v>60</x:v>
      </x:c>
      <x:c r="L1051" s="19" t="n">
        <x:f>K1051*I1051</x:f>
        <x:v>6</x:v>
      </x:c>
      <x:c r="M1051" s="19" t="n">
        <x:f>(E1051-F1051)*G1051*(1-I1051)</x:f>
        <x:v>54</x:v>
      </x:c>
      <x:c r="N1051" s="19" t="n">
        <x:f>(E1051-F1051)*H1051</x:f>
        <x:v>24</x:v>
      </x:c>
      <x:c r="O1051" s="19" t="n">
        <x:f>F1051*J1051</x:f>
        <x:v>0</x:v>
      </x:c>
      <x:c r="P1051" s="19" t="n">
        <x:f>M1051-N1051-O1051</x:f>
        <x:v>30</x:v>
      </x:c>
    </x:row>
    <x:row r="1052">
      <x:c r="A1052" s="15" t="str">
        <x:v>SIM-1048</x:v>
      </x:c>
      <x:c r="B1052" s="15" t="str">
        <x:v>2026-05</x:v>
      </x:c>
      <x:c r="C1052" s="15" t="str">
        <x:v>Prendas</x:v>
      </x:c>
      <x:c r="D1052" s="15" t="str">
        <x:v>Tienda</x:v>
      </x:c>
      <x:c r="E1052" s="15" t="n">
        <x:v>1</x:v>
      </x:c>
      <x:c r="F1052" s="15" t="n">
        <x:v>0</x:v>
      </x:c>
      <x:c r="G1052" s="19" t="n">
        <x:v>60</x:v>
      </x:c>
      <x:c r="H1052" s="19" t="n">
        <x:v>24</x:v>
      </x:c>
      <x:c r="I1052" s="17" t="n">
        <x:v>0.1</x:v>
      </x:c>
      <x:c r="J1052" s="19" t="n">
        <x:v>2</x:v>
      </x:c>
      <x:c r="K1052" s="19" t="n">
        <x:f>E1052*G1052</x:f>
        <x:v>60</x:v>
      </x:c>
      <x:c r="L1052" s="19" t="n">
        <x:f>K1052*I1052</x:f>
        <x:v>6</x:v>
      </x:c>
      <x:c r="M1052" s="19" t="n">
        <x:f>(E1052-F1052)*G1052*(1-I1052)</x:f>
        <x:v>54</x:v>
      </x:c>
      <x:c r="N1052" s="19" t="n">
        <x:f>(E1052-F1052)*H1052</x:f>
        <x:v>24</x:v>
      </x:c>
      <x:c r="O1052" s="19" t="n">
        <x:f>F1052*J1052</x:f>
        <x:v>0</x:v>
      </x:c>
      <x:c r="P1052" s="19" t="n">
        <x:f>M1052-N1052-O1052</x:f>
        <x:v>30</x:v>
      </x:c>
    </x:row>
    <x:row r="1053">
      <x:c r="A1053" s="15" t="str">
        <x:v>SIM-1049</x:v>
      </x:c>
      <x:c r="B1053" s="15" t="str">
        <x:v>2026-05</x:v>
      </x:c>
      <x:c r="C1053" s="15" t="str">
        <x:v>Calzado</x:v>
      </x:c>
      <x:c r="D1053" s="15" t="str">
        <x:v>Online</x:v>
      </x:c>
      <x:c r="E1053" s="15" t="n">
        <x:v>1</x:v>
      </x:c>
      <x:c r="F1053" s="15" t="n">
        <x:v>0</x:v>
      </x:c>
      <x:c r="G1053" s="19" t="n">
        <x:v>90</x:v>
      </x:c>
      <x:c r="H1053" s="19" t="n">
        <x:v>42</x:v>
      </x:c>
      <x:c r="I1053" s="17" t="n">
        <x:v>0.3</x:v>
      </x:c>
      <x:c r="J1053" s="19" t="n">
        <x:v>6</x:v>
      </x:c>
      <x:c r="K1053" s="19" t="n">
        <x:f>E1053*G1053</x:f>
        <x:v>90</x:v>
      </x:c>
      <x:c r="L1053" s="19" t="n">
        <x:f>K1053*I1053</x:f>
        <x:v>27</x:v>
      </x:c>
      <x:c r="M1053" s="19" t="n">
        <x:f>(E1053-F1053)*G1053*(1-I1053)</x:f>
        <x:v>62.99999999999999</x:v>
      </x:c>
      <x:c r="N1053" s="19" t="n">
        <x:f>(E1053-F1053)*H1053</x:f>
        <x:v>42</x:v>
      </x:c>
      <x:c r="O1053" s="19" t="n">
        <x:f>F1053*J1053</x:f>
        <x:v>0</x:v>
      </x:c>
      <x:c r="P1053" s="19" t="n">
        <x:f>M1053-N1053-O1053</x:f>
        <x:v>20.999999999999993</x:v>
      </x:c>
    </x:row>
    <x:row r="1054">
      <x:c r="A1054" s="15" t="str">
        <x:v>SIM-1050</x:v>
      </x:c>
      <x:c r="B1054" s="15" t="str">
        <x:v>2026-05</x:v>
      </x:c>
      <x:c r="C1054" s="15" t="str">
        <x:v>Prendas</x:v>
      </x:c>
      <x:c r="D1054" s="15" t="str">
        <x:v>Tienda</x:v>
      </x:c>
      <x:c r="E1054" s="15" t="n">
        <x:v>1</x:v>
      </x:c>
      <x:c r="F1054" s="15" t="n">
        <x:v>0</x:v>
      </x:c>
      <x:c r="G1054" s="19" t="n">
        <x:v>60</x:v>
      </x:c>
      <x:c r="H1054" s="19" t="n">
        <x:v>24</x:v>
      </x:c>
      <x:c r="I1054" s="17" t="n">
        <x:v>0.2</x:v>
      </x:c>
      <x:c r="J1054" s="19" t="n">
        <x:v>2</x:v>
      </x:c>
      <x:c r="K1054" s="19" t="n">
        <x:f>E1054*G1054</x:f>
        <x:v>60</x:v>
      </x:c>
      <x:c r="L1054" s="19" t="n">
        <x:f>K1054*I1054</x:f>
        <x:v>12</x:v>
      </x:c>
      <x:c r="M1054" s="19" t="n">
        <x:f>(E1054-F1054)*G1054*(1-I1054)</x:f>
        <x:v>48</x:v>
      </x:c>
      <x:c r="N1054" s="19" t="n">
        <x:f>(E1054-F1054)*H1054</x:f>
        <x:v>24</x:v>
      </x:c>
      <x:c r="O1054" s="19" t="n">
        <x:f>F1054*J1054</x:f>
        <x:v>0</x:v>
      </x:c>
      <x:c r="P1054" s="19" t="n">
        <x:f>M1054-N1054-O1054</x:f>
        <x:v>24</x:v>
      </x:c>
    </x:row>
    <x:row r="1055">
      <x:c r="A1055" s="15" t="str">
        <x:v>SIM-1051</x:v>
      </x:c>
      <x:c r="B1055" s="15" t="str">
        <x:v>2026-05</x:v>
      </x:c>
      <x:c r="C1055" s="15" t="str">
        <x:v>Prendas</x:v>
      </x:c>
      <x:c r="D1055" s="15" t="str">
        <x:v>Online</x:v>
      </x:c>
      <x:c r="E1055" s="15" t="n">
        <x:v>1</x:v>
      </x:c>
      <x:c r="F1055" s="15" t="n">
        <x:v>0</x:v>
      </x:c>
      <x:c r="G1055" s="19" t="n">
        <x:v>60</x:v>
      </x:c>
      <x:c r="H1055" s="19" t="n">
        <x:v>24</x:v>
      </x:c>
      <x:c r="I1055" s="17" t="n">
        <x:v>0.2</x:v>
      </x:c>
      <x:c r="J1055" s="19" t="n">
        <x:v>6</x:v>
      </x:c>
      <x:c r="K1055" s="19" t="n">
        <x:f>E1055*G1055</x:f>
        <x:v>60</x:v>
      </x:c>
      <x:c r="L1055" s="19" t="n">
        <x:f>K1055*I1055</x:f>
        <x:v>12</x:v>
      </x:c>
      <x:c r="M1055" s="19" t="n">
        <x:f>(E1055-F1055)*G1055*(1-I1055)</x:f>
        <x:v>48</x:v>
      </x:c>
      <x:c r="N1055" s="19" t="n">
        <x:f>(E1055-F1055)*H1055</x:f>
        <x:v>24</x:v>
      </x:c>
      <x:c r="O1055" s="19" t="n">
        <x:f>F1055*J1055</x:f>
        <x:v>0</x:v>
      </x:c>
      <x:c r="P1055" s="19" t="n">
        <x:f>M1055-N1055-O1055</x:f>
        <x:v>24</x:v>
      </x:c>
    </x:row>
    <x:row r="1056">
      <x:c r="A1056" s="15" t="str">
        <x:v>SIM-1052</x:v>
      </x:c>
      <x:c r="B1056" s="15" t="str">
        <x:v>2026-05</x:v>
      </x:c>
      <x:c r="C1056" s="15" t="str">
        <x:v>Calzado</x:v>
      </x:c>
      <x:c r="D1056" s="15" t="str">
        <x:v>Tienda</x:v>
      </x:c>
      <x:c r="E1056" s="15" t="n">
        <x:v>2</x:v>
      </x:c>
      <x:c r="F1056" s="15" t="n">
        <x:v>0</x:v>
      </x:c>
      <x:c r="G1056" s="19" t="n">
        <x:v>90</x:v>
      </x:c>
      <x:c r="H1056" s="19" t="n">
        <x:v>42</x:v>
      </x:c>
      <x:c r="I1056" s="17" t="n">
        <x:v>0.1</x:v>
      </x:c>
      <x:c r="J1056" s="19" t="n">
        <x:v>2</x:v>
      </x:c>
      <x:c r="K1056" s="19" t="n">
        <x:f>E1056*G1056</x:f>
        <x:v>180</x:v>
      </x:c>
      <x:c r="L1056" s="19" t="n">
        <x:f>K1056*I1056</x:f>
        <x:v>18</x:v>
      </x:c>
      <x:c r="M1056" s="19" t="n">
        <x:f>(E1056-F1056)*G1056*(1-I1056)</x:f>
        <x:v>162</x:v>
      </x:c>
      <x:c r="N1056" s="19" t="n">
        <x:f>(E1056-F1056)*H1056</x:f>
        <x:v>84</x:v>
      </x:c>
      <x:c r="O1056" s="19" t="n">
        <x:f>F1056*J1056</x:f>
        <x:v>0</x:v>
      </x:c>
      <x:c r="P1056" s="19" t="n">
        <x:f>M1056-N1056-O1056</x:f>
        <x:v>78</x:v>
      </x:c>
    </x:row>
    <x:row r="1057">
      <x:c r="A1057" s="15" t="str">
        <x:v>SIM-1053</x:v>
      </x:c>
      <x:c r="B1057" s="15" t="str">
        <x:v>2026-05</x:v>
      </x:c>
      <x:c r="C1057" s="15" t="str">
        <x:v>Prendas</x:v>
      </x:c>
      <x:c r="D1057" s="15" t="str">
        <x:v>Tienda</x:v>
      </x:c>
      <x:c r="E1057" s="15" t="n">
        <x:v>1</x:v>
      </x:c>
      <x:c r="F1057" s="15" t="n">
        <x:v>0</x:v>
      </x:c>
      <x:c r="G1057" s="19" t="n">
        <x:v>60</x:v>
      </x:c>
      <x:c r="H1057" s="19" t="n">
        <x:v>24</x:v>
      </x:c>
      <x:c r="I1057" s="17" t="n">
        <x:v>0.2</x:v>
      </x:c>
      <x:c r="J1057" s="19" t="n">
        <x:v>2</x:v>
      </x:c>
      <x:c r="K1057" s="19" t="n">
        <x:f>E1057*G1057</x:f>
        <x:v>60</x:v>
      </x:c>
      <x:c r="L1057" s="19" t="n">
        <x:f>K1057*I1057</x:f>
        <x:v>12</x:v>
      </x:c>
      <x:c r="M1057" s="19" t="n">
        <x:f>(E1057-F1057)*G1057*(1-I1057)</x:f>
        <x:v>48</x:v>
      </x:c>
      <x:c r="N1057" s="19" t="n">
        <x:f>(E1057-F1057)*H1057</x:f>
        <x:v>24</x:v>
      </x:c>
      <x:c r="O1057" s="19" t="n">
        <x:f>F1057*J1057</x:f>
        <x:v>0</x:v>
      </x:c>
      <x:c r="P1057" s="19" t="n">
        <x:f>M1057-N1057-O1057</x:f>
        <x:v>24</x:v>
      </x:c>
    </x:row>
    <x:row r="1058">
      <x:c r="A1058" s="15" t="str">
        <x:v>SIM-1054</x:v>
      </x:c>
      <x:c r="B1058" s="15" t="str">
        <x:v>2026-05</x:v>
      </x:c>
      <x:c r="C1058" s="15" t="str">
        <x:v>Calzado</x:v>
      </x:c>
      <x:c r="D1058" s="15" t="str">
        <x:v>Online</x:v>
      </x:c>
      <x:c r="E1058" s="15" t="n">
        <x:v>2</x:v>
      </x:c>
      <x:c r="F1058" s="15" t="n">
        <x:v>1</x:v>
      </x:c>
      <x:c r="G1058" s="19" t="n">
        <x:v>90</x:v>
      </x:c>
      <x:c r="H1058" s="19" t="n">
        <x:v>42</x:v>
      </x:c>
      <x:c r="I1058" s="17" t="n">
        <x:v>0.2</x:v>
      </x:c>
      <x:c r="J1058" s="19" t="n">
        <x:v>6</x:v>
      </x:c>
      <x:c r="K1058" s="19" t="n">
        <x:f>E1058*G1058</x:f>
        <x:v>180</x:v>
      </x:c>
      <x:c r="L1058" s="19" t="n">
        <x:f>K1058*I1058</x:f>
        <x:v>36</x:v>
      </x:c>
      <x:c r="M1058" s="19" t="n">
        <x:f>(E1058-F1058)*G1058*(1-I1058)</x:f>
        <x:v>72</x:v>
      </x:c>
      <x:c r="N1058" s="19" t="n">
        <x:f>(E1058-F1058)*H1058</x:f>
        <x:v>42</x:v>
      </x:c>
      <x:c r="O1058" s="19" t="n">
        <x:f>F1058*J1058</x:f>
        <x:v>6</x:v>
      </x:c>
      <x:c r="P1058" s="19" t="n">
        <x:f>M1058-N1058-O1058</x:f>
        <x:v>24</x:v>
      </x:c>
    </x:row>
    <x:row r="1059">
      <x:c r="A1059" s="15" t="str">
        <x:v>SIM-1055</x:v>
      </x:c>
      <x:c r="B1059" s="15" t="str">
        <x:v>2026-05</x:v>
      </x:c>
      <x:c r="C1059" s="15" t="str">
        <x:v>Prendas</x:v>
      </x:c>
      <x:c r="D1059" s="15" t="str">
        <x:v>Tienda</x:v>
      </x:c>
      <x:c r="E1059" s="15" t="n">
        <x:v>1</x:v>
      </x:c>
      <x:c r="F1059" s="15" t="n">
        <x:v>0</x:v>
      </x:c>
      <x:c r="G1059" s="19" t="n">
        <x:v>60</x:v>
      </x:c>
      <x:c r="H1059" s="19" t="n">
        <x:v>24</x:v>
      </x:c>
      <x:c r="I1059" s="17" t="n">
        <x:v>0</x:v>
      </x:c>
      <x:c r="J1059" s="19" t="n">
        <x:v>2</x:v>
      </x:c>
      <x:c r="K1059" s="19" t="n">
        <x:f>E1059*G1059</x:f>
        <x:v>60</x:v>
      </x:c>
      <x:c r="L1059" s="19" t="n">
        <x:f>K1059*I1059</x:f>
        <x:v>0</x:v>
      </x:c>
      <x:c r="M1059" s="19" t="n">
        <x:f>(E1059-F1059)*G1059*(1-I1059)</x:f>
        <x:v>60</x:v>
      </x:c>
      <x:c r="N1059" s="19" t="n">
        <x:f>(E1059-F1059)*H1059</x:f>
        <x:v>24</x:v>
      </x:c>
      <x:c r="O1059" s="19" t="n">
        <x:f>F1059*J1059</x:f>
        <x:v>0</x:v>
      </x:c>
      <x:c r="P1059" s="19" t="n">
        <x:f>M1059-N1059-O1059</x:f>
        <x:v>36</x:v>
      </x:c>
    </x:row>
    <x:row r="1060">
      <x:c r="A1060" s="15" t="str">
        <x:v>SIM-1056</x:v>
      </x:c>
      <x:c r="B1060" s="15" t="str">
        <x:v>2026-05</x:v>
      </x:c>
      <x:c r="C1060" s="15" t="str">
        <x:v>Prendas</x:v>
      </x:c>
      <x:c r="D1060" s="15" t="str">
        <x:v>Online</x:v>
      </x:c>
      <x:c r="E1060" s="15" t="n">
        <x:v>1</x:v>
      </x:c>
      <x:c r="F1060" s="15" t="n">
        <x:v>0</x:v>
      </x:c>
      <x:c r="G1060" s="19" t="n">
        <x:v>60</x:v>
      </x:c>
      <x:c r="H1060" s="19" t="n">
        <x:v>24</x:v>
      </x:c>
      <x:c r="I1060" s="17" t="n">
        <x:v>0</x:v>
      </x:c>
      <x:c r="J1060" s="19" t="n">
        <x:v>6</x:v>
      </x:c>
      <x:c r="K1060" s="19" t="n">
        <x:f>E1060*G1060</x:f>
        <x:v>60</x:v>
      </x:c>
      <x:c r="L1060" s="19" t="n">
        <x:f>K1060*I1060</x:f>
        <x:v>0</x:v>
      </x:c>
      <x:c r="M1060" s="19" t="n">
        <x:f>(E1060-F1060)*G1060*(1-I1060)</x:f>
        <x:v>60</x:v>
      </x:c>
      <x:c r="N1060" s="19" t="n">
        <x:f>(E1060-F1060)*H1060</x:f>
        <x:v>24</x:v>
      </x:c>
      <x:c r="O1060" s="19" t="n">
        <x:f>F1060*J1060</x:f>
        <x:v>0</x:v>
      </x:c>
      <x:c r="P1060" s="19" t="n">
        <x:f>M1060-N1060-O1060</x:f>
        <x:v>36</x:v>
      </x:c>
    </x:row>
    <x:row r="1061">
      <x:c r="A1061" s="15" t="str">
        <x:v>SIM-1057</x:v>
      </x:c>
      <x:c r="B1061" s="15" t="str">
        <x:v>2026-05</x:v>
      </x:c>
      <x:c r="C1061" s="15" t="str">
        <x:v>Prendas</x:v>
      </x:c>
      <x:c r="D1061" s="15" t="str">
        <x:v>Online</x:v>
      </x:c>
      <x:c r="E1061" s="15" t="n">
        <x:v>1</x:v>
      </x:c>
      <x:c r="F1061" s="15" t="n">
        <x:v>1</x:v>
      </x:c>
      <x:c r="G1061" s="19" t="n">
        <x:v>60</x:v>
      </x:c>
      <x:c r="H1061" s="19" t="n">
        <x:v>24</x:v>
      </x:c>
      <x:c r="I1061" s="17" t="n">
        <x:v>0</x:v>
      </x:c>
      <x:c r="J1061" s="19" t="n">
        <x:v>6</x:v>
      </x:c>
      <x:c r="K1061" s="19" t="n">
        <x:f>E1061*G1061</x:f>
        <x:v>60</x:v>
      </x:c>
      <x:c r="L1061" s="19" t="n">
        <x:f>K1061*I1061</x:f>
        <x:v>0</x:v>
      </x:c>
      <x:c r="M1061" s="19" t="n">
        <x:f>(E1061-F1061)*G1061*(1-I1061)</x:f>
        <x:v>0</x:v>
      </x:c>
      <x:c r="N1061" s="19" t="n">
        <x:f>(E1061-F1061)*H1061</x:f>
        <x:v>0</x:v>
      </x:c>
      <x:c r="O1061" s="19" t="n">
        <x:f>F1061*J1061</x:f>
        <x:v>6</x:v>
      </x:c>
      <x:c r="P1061" s="19" t="n">
        <x:f>M1061-N1061-O1061</x:f>
        <x:v>-6</x:v>
      </x:c>
    </x:row>
    <x:row r="1062">
      <x:c r="A1062" s="15" t="str">
        <x:v>SIM-1058</x:v>
      </x:c>
      <x:c r="B1062" s="15" t="str">
        <x:v>2026-05</x:v>
      </x:c>
      <x:c r="C1062" s="15" t="str">
        <x:v>Prendas</x:v>
      </x:c>
      <x:c r="D1062" s="15" t="str">
        <x:v>Online</x:v>
      </x:c>
      <x:c r="E1062" s="15" t="n">
        <x:v>2</x:v>
      </x:c>
      <x:c r="F1062" s="15" t="n">
        <x:v>0</x:v>
      </x:c>
      <x:c r="G1062" s="19" t="n">
        <x:v>60</x:v>
      </x:c>
      <x:c r="H1062" s="19" t="n">
        <x:v>24</x:v>
      </x:c>
      <x:c r="I1062" s="17" t="n">
        <x:v>0.3</x:v>
      </x:c>
      <x:c r="J1062" s="19" t="n">
        <x:v>6</x:v>
      </x:c>
      <x:c r="K1062" s="19" t="n">
        <x:f>E1062*G1062</x:f>
        <x:v>120</x:v>
      </x:c>
      <x:c r="L1062" s="19" t="n">
        <x:f>K1062*I1062</x:f>
        <x:v>36</x:v>
      </x:c>
      <x:c r="M1062" s="19" t="n">
        <x:f>(E1062-F1062)*G1062*(1-I1062)</x:f>
        <x:v>84</x:v>
      </x:c>
      <x:c r="N1062" s="19" t="n">
        <x:f>(E1062-F1062)*H1062</x:f>
        <x:v>48</x:v>
      </x:c>
      <x:c r="O1062" s="19" t="n">
        <x:f>F1062*J1062</x:f>
        <x:v>0</x:v>
      </x:c>
      <x:c r="P1062" s="19" t="n">
        <x:f>M1062-N1062-O1062</x:f>
        <x:v>36</x:v>
      </x:c>
    </x:row>
    <x:row r="1063">
      <x:c r="A1063" s="15" t="str">
        <x:v>SIM-1059</x:v>
      </x:c>
      <x:c r="B1063" s="15" t="str">
        <x:v>2026-05</x:v>
      </x:c>
      <x:c r="C1063" s="15" t="str">
        <x:v>Accesorios</x:v>
      </x:c>
      <x:c r="D1063" s="15" t="str">
        <x:v>Online</x:v>
      </x:c>
      <x:c r="E1063" s="15" t="n">
        <x:v>2</x:v>
      </x:c>
      <x:c r="F1063" s="15" t="n">
        <x:v>0</x:v>
      </x:c>
      <x:c r="G1063" s="19" t="n">
        <x:v>30</x:v>
      </x:c>
      <x:c r="H1063" s="19" t="n">
        <x:v>9</x:v>
      </x:c>
      <x:c r="I1063" s="17" t="n">
        <x:v>0</x:v>
      </x:c>
      <x:c r="J1063" s="19" t="n">
        <x:v>6</x:v>
      </x:c>
      <x:c r="K1063" s="19" t="n">
        <x:f>E1063*G1063</x:f>
        <x:v>60</x:v>
      </x:c>
      <x:c r="L1063" s="19" t="n">
        <x:f>K1063*I1063</x:f>
        <x:v>0</x:v>
      </x:c>
      <x:c r="M1063" s="19" t="n">
        <x:f>(E1063-F1063)*G1063*(1-I1063)</x:f>
        <x:v>60</x:v>
      </x:c>
      <x:c r="N1063" s="19" t="n">
        <x:f>(E1063-F1063)*H1063</x:f>
        <x:v>18</x:v>
      </x:c>
      <x:c r="O1063" s="19" t="n">
        <x:f>F1063*J1063</x:f>
        <x:v>0</x:v>
      </x:c>
      <x:c r="P1063" s="19" t="n">
        <x:f>M1063-N1063-O1063</x:f>
        <x:v>42</x:v>
      </x:c>
    </x:row>
    <x:row r="1064">
      <x:c r="A1064" s="15" t="str">
        <x:v>SIM-1060</x:v>
      </x:c>
      <x:c r="B1064" s="15" t="str">
        <x:v>2026-05</x:v>
      </x:c>
      <x:c r="C1064" s="15" t="str">
        <x:v>Prendas</x:v>
      </x:c>
      <x:c r="D1064" s="15" t="str">
        <x:v>Tienda</x:v>
      </x:c>
      <x:c r="E1064" s="15" t="n">
        <x:v>2</x:v>
      </x:c>
      <x:c r="F1064" s="15" t="n">
        <x:v>0</x:v>
      </x:c>
      <x:c r="G1064" s="19" t="n">
        <x:v>60</x:v>
      </x:c>
      <x:c r="H1064" s="19" t="n">
        <x:v>24</x:v>
      </x:c>
      <x:c r="I1064" s="17" t="n">
        <x:v>0</x:v>
      </x:c>
      <x:c r="J1064" s="19" t="n">
        <x:v>2</x:v>
      </x:c>
      <x:c r="K1064" s="19" t="n">
        <x:f>E1064*G1064</x:f>
        <x:v>120</x:v>
      </x:c>
      <x:c r="L1064" s="19" t="n">
        <x:f>K1064*I1064</x:f>
        <x:v>0</x:v>
      </x:c>
      <x:c r="M1064" s="19" t="n">
        <x:f>(E1064-F1064)*G1064*(1-I1064)</x:f>
        <x:v>120</x:v>
      </x:c>
      <x:c r="N1064" s="19" t="n">
        <x:f>(E1064-F1064)*H1064</x:f>
        <x:v>48</x:v>
      </x:c>
      <x:c r="O1064" s="19" t="n">
        <x:f>F1064*J1064</x:f>
        <x:v>0</x:v>
      </x:c>
      <x:c r="P1064" s="19" t="n">
        <x:f>M1064-N1064-O1064</x:f>
        <x:v>72</x:v>
      </x:c>
    </x:row>
    <x:row r="1065">
      <x:c r="A1065" s="15" t="str">
        <x:v>SIM-1061</x:v>
      </x:c>
      <x:c r="B1065" s="15" t="str">
        <x:v>2026-05</x:v>
      </x:c>
      <x:c r="C1065" s="15" t="str">
        <x:v>Prendas</x:v>
      </x:c>
      <x:c r="D1065" s="15" t="str">
        <x:v>Tienda</x:v>
      </x:c>
      <x:c r="E1065" s="15" t="n">
        <x:v>1</x:v>
      </x:c>
      <x:c r="F1065" s="15" t="n">
        <x:v>0</x:v>
      </x:c>
      <x:c r="G1065" s="19" t="n">
        <x:v>60</x:v>
      </x:c>
      <x:c r="H1065" s="19" t="n">
        <x:v>24</x:v>
      </x:c>
      <x:c r="I1065" s="17" t="n">
        <x:v>0.2</x:v>
      </x:c>
      <x:c r="J1065" s="19" t="n">
        <x:v>2</x:v>
      </x:c>
      <x:c r="K1065" s="19" t="n">
        <x:f>E1065*G1065</x:f>
        <x:v>60</x:v>
      </x:c>
      <x:c r="L1065" s="19" t="n">
        <x:f>K1065*I1065</x:f>
        <x:v>12</x:v>
      </x:c>
      <x:c r="M1065" s="19" t="n">
        <x:f>(E1065-F1065)*G1065*(1-I1065)</x:f>
        <x:v>48</x:v>
      </x:c>
      <x:c r="N1065" s="19" t="n">
        <x:f>(E1065-F1065)*H1065</x:f>
        <x:v>24</x:v>
      </x:c>
      <x:c r="O1065" s="19" t="n">
        <x:f>F1065*J1065</x:f>
        <x:v>0</x:v>
      </x:c>
      <x:c r="P1065" s="19" t="n">
        <x:f>M1065-N1065-O1065</x:f>
        <x:v>24</x:v>
      </x:c>
    </x:row>
    <x:row r="1066">
      <x:c r="A1066" s="15" t="str">
        <x:v>SIM-1062</x:v>
      </x:c>
      <x:c r="B1066" s="15" t="str">
        <x:v>2026-05</x:v>
      </x:c>
      <x:c r="C1066" s="15" t="str">
        <x:v>Prendas</x:v>
      </x:c>
      <x:c r="D1066" s="15" t="str">
        <x:v>Online</x:v>
      </x:c>
      <x:c r="E1066" s="15" t="n">
        <x:v>1</x:v>
      </x:c>
      <x:c r="F1066" s="15" t="n">
        <x:v>1</x:v>
      </x:c>
      <x:c r="G1066" s="19" t="n">
        <x:v>60</x:v>
      </x:c>
      <x:c r="H1066" s="19" t="n">
        <x:v>24</x:v>
      </x:c>
      <x:c r="I1066" s="17" t="n">
        <x:v>0.3</x:v>
      </x:c>
      <x:c r="J1066" s="19" t="n">
        <x:v>6</x:v>
      </x:c>
      <x:c r="K1066" s="19" t="n">
        <x:f>E1066*G1066</x:f>
        <x:v>60</x:v>
      </x:c>
      <x:c r="L1066" s="19" t="n">
        <x:f>K1066*I1066</x:f>
        <x:v>18</x:v>
      </x:c>
      <x:c r="M1066" s="19" t="n">
        <x:f>(E1066-F1066)*G1066*(1-I1066)</x:f>
        <x:v>0</x:v>
      </x:c>
      <x:c r="N1066" s="19" t="n">
        <x:f>(E1066-F1066)*H1066</x:f>
        <x:v>0</x:v>
      </x:c>
      <x:c r="O1066" s="19" t="n">
        <x:f>F1066*J1066</x:f>
        <x:v>6</x:v>
      </x:c>
      <x:c r="P1066" s="19" t="n">
        <x:f>M1066-N1066-O1066</x:f>
        <x:v>-6</x:v>
      </x:c>
    </x:row>
    <x:row r="1067">
      <x:c r="A1067" s="15" t="str">
        <x:v>SIM-1063</x:v>
      </x:c>
      <x:c r="B1067" s="15" t="str">
        <x:v>2026-05</x:v>
      </x:c>
      <x:c r="C1067" s="15" t="str">
        <x:v>Calzado</x:v>
      </x:c>
      <x:c r="D1067" s="15" t="str">
        <x:v>Online</x:v>
      </x:c>
      <x:c r="E1067" s="15" t="n">
        <x:v>1</x:v>
      </x:c>
      <x:c r="F1067" s="15" t="n">
        <x:v>0</x:v>
      </x:c>
      <x:c r="G1067" s="19" t="n">
        <x:v>90</x:v>
      </x:c>
      <x:c r="H1067" s="19" t="n">
        <x:v>42</x:v>
      </x:c>
      <x:c r="I1067" s="17" t="n">
        <x:v>0.1</x:v>
      </x:c>
      <x:c r="J1067" s="19" t="n">
        <x:v>6</x:v>
      </x:c>
      <x:c r="K1067" s="19" t="n">
        <x:f>E1067*G1067</x:f>
        <x:v>90</x:v>
      </x:c>
      <x:c r="L1067" s="19" t="n">
        <x:f>K1067*I1067</x:f>
        <x:v>9</x:v>
      </x:c>
      <x:c r="M1067" s="19" t="n">
        <x:f>(E1067-F1067)*G1067*(1-I1067)</x:f>
        <x:v>81</x:v>
      </x:c>
      <x:c r="N1067" s="19" t="n">
        <x:f>(E1067-F1067)*H1067</x:f>
        <x:v>42</x:v>
      </x:c>
      <x:c r="O1067" s="19" t="n">
        <x:f>F1067*J1067</x:f>
        <x:v>0</x:v>
      </x:c>
      <x:c r="P1067" s="19" t="n">
        <x:f>M1067-N1067-O1067</x:f>
        <x:v>39</x:v>
      </x:c>
    </x:row>
    <x:row r="1068">
      <x:c r="A1068" s="15" t="str">
        <x:v>SIM-1064</x:v>
      </x:c>
      <x:c r="B1068" s="15" t="str">
        <x:v>2026-05</x:v>
      </x:c>
      <x:c r="C1068" s="15" t="str">
        <x:v>Prendas</x:v>
      </x:c>
      <x:c r="D1068" s="15" t="str">
        <x:v>Online</x:v>
      </x:c>
      <x:c r="E1068" s="15" t="n">
        <x:v>1</x:v>
      </x:c>
      <x:c r="F1068" s="15" t="n">
        <x:v>0</x:v>
      </x:c>
      <x:c r="G1068" s="19" t="n">
        <x:v>60</x:v>
      </x:c>
      <x:c r="H1068" s="19" t="n">
        <x:v>24</x:v>
      </x:c>
      <x:c r="I1068" s="17" t="n">
        <x:v>0.3</x:v>
      </x:c>
      <x:c r="J1068" s="19" t="n">
        <x:v>6</x:v>
      </x:c>
      <x:c r="K1068" s="19" t="n">
        <x:f>E1068*G1068</x:f>
        <x:v>60</x:v>
      </x:c>
      <x:c r="L1068" s="19" t="n">
        <x:f>K1068*I1068</x:f>
        <x:v>18</x:v>
      </x:c>
      <x:c r="M1068" s="19" t="n">
        <x:f>(E1068-F1068)*G1068*(1-I1068)</x:f>
        <x:v>42</x:v>
      </x:c>
      <x:c r="N1068" s="19" t="n">
        <x:f>(E1068-F1068)*H1068</x:f>
        <x:v>24</x:v>
      </x:c>
      <x:c r="O1068" s="19" t="n">
        <x:f>F1068*J1068</x:f>
        <x:v>0</x:v>
      </x:c>
      <x:c r="P1068" s="19" t="n">
        <x:f>M1068-N1068-O1068</x:f>
        <x:v>18</x:v>
      </x:c>
    </x:row>
    <x:row r="1069">
      <x:c r="A1069" s="15" t="str">
        <x:v>SIM-1065</x:v>
      </x:c>
      <x:c r="B1069" s="15" t="str">
        <x:v>2026-05</x:v>
      </x:c>
      <x:c r="C1069" s="15" t="str">
        <x:v>Prendas</x:v>
      </x:c>
      <x:c r="D1069" s="15" t="str">
        <x:v>Tienda</x:v>
      </x:c>
      <x:c r="E1069" s="15" t="n">
        <x:v>1</x:v>
      </x:c>
      <x:c r="F1069" s="15" t="n">
        <x:v>0</x:v>
      </x:c>
      <x:c r="G1069" s="19" t="n">
        <x:v>60</x:v>
      </x:c>
      <x:c r="H1069" s="19" t="n">
        <x:v>24</x:v>
      </x:c>
      <x:c r="I1069" s="17" t="n">
        <x:v>0.1</x:v>
      </x:c>
      <x:c r="J1069" s="19" t="n">
        <x:v>2</x:v>
      </x:c>
      <x:c r="K1069" s="19" t="n">
        <x:f>E1069*G1069</x:f>
        <x:v>60</x:v>
      </x:c>
      <x:c r="L1069" s="19" t="n">
        <x:f>K1069*I1069</x:f>
        <x:v>6</x:v>
      </x:c>
      <x:c r="M1069" s="19" t="n">
        <x:f>(E1069-F1069)*G1069*(1-I1069)</x:f>
        <x:v>54</x:v>
      </x:c>
      <x:c r="N1069" s="19" t="n">
        <x:f>(E1069-F1069)*H1069</x:f>
        <x:v>24</x:v>
      </x:c>
      <x:c r="O1069" s="19" t="n">
        <x:f>F1069*J1069</x:f>
        <x:v>0</x:v>
      </x:c>
      <x:c r="P1069" s="19" t="n">
        <x:f>M1069-N1069-O1069</x:f>
        <x:v>30</x:v>
      </x:c>
    </x:row>
    <x:row r="1070">
      <x:c r="A1070" s="15" t="str">
        <x:v>SIM-1066</x:v>
      </x:c>
      <x:c r="B1070" s="15" t="str">
        <x:v>2026-05</x:v>
      </x:c>
      <x:c r="C1070" s="15" t="str">
        <x:v>Calzado</x:v>
      </x:c>
      <x:c r="D1070" s="15" t="str">
        <x:v>Tienda</x:v>
      </x:c>
      <x:c r="E1070" s="15" t="n">
        <x:v>1</x:v>
      </x:c>
      <x:c r="F1070" s="15" t="n">
        <x:v>0</x:v>
      </x:c>
      <x:c r="G1070" s="19" t="n">
        <x:v>90</x:v>
      </x:c>
      <x:c r="H1070" s="19" t="n">
        <x:v>42</x:v>
      </x:c>
      <x:c r="I1070" s="17" t="n">
        <x:v>0</x:v>
      </x:c>
      <x:c r="J1070" s="19" t="n">
        <x:v>2</x:v>
      </x:c>
      <x:c r="K1070" s="19" t="n">
        <x:f>E1070*G1070</x:f>
        <x:v>90</x:v>
      </x:c>
      <x:c r="L1070" s="19" t="n">
        <x:f>K1070*I1070</x:f>
        <x:v>0</x:v>
      </x:c>
      <x:c r="M1070" s="19" t="n">
        <x:f>(E1070-F1070)*G1070*(1-I1070)</x:f>
        <x:v>90</x:v>
      </x:c>
      <x:c r="N1070" s="19" t="n">
        <x:f>(E1070-F1070)*H1070</x:f>
        <x:v>42</x:v>
      </x:c>
      <x:c r="O1070" s="19" t="n">
        <x:f>F1070*J1070</x:f>
        <x:v>0</x:v>
      </x:c>
      <x:c r="P1070" s="19" t="n">
        <x:f>M1070-N1070-O1070</x:f>
        <x:v>48</x:v>
      </x:c>
    </x:row>
    <x:row r="1071">
      <x:c r="A1071" s="15" t="str">
        <x:v>SIM-1067</x:v>
      </x:c>
      <x:c r="B1071" s="15" t="str">
        <x:v>2026-05</x:v>
      </x:c>
      <x:c r="C1071" s="15" t="str">
        <x:v>Calzado</x:v>
      </x:c>
      <x:c r="D1071" s="15" t="str">
        <x:v>Online</x:v>
      </x:c>
      <x:c r="E1071" s="15" t="n">
        <x:v>1</x:v>
      </x:c>
      <x:c r="F1071" s="15" t="n">
        <x:v>0</x:v>
      </x:c>
      <x:c r="G1071" s="19" t="n">
        <x:v>90</x:v>
      </x:c>
      <x:c r="H1071" s="19" t="n">
        <x:v>42</x:v>
      </x:c>
      <x:c r="I1071" s="17" t="n">
        <x:v>0</x:v>
      </x:c>
      <x:c r="J1071" s="19" t="n">
        <x:v>6</x:v>
      </x:c>
      <x:c r="K1071" s="19" t="n">
        <x:f>E1071*G1071</x:f>
        <x:v>90</x:v>
      </x:c>
      <x:c r="L1071" s="19" t="n">
        <x:f>K1071*I1071</x:f>
        <x:v>0</x:v>
      </x:c>
      <x:c r="M1071" s="19" t="n">
        <x:f>(E1071-F1071)*G1071*(1-I1071)</x:f>
        <x:v>90</x:v>
      </x:c>
      <x:c r="N1071" s="19" t="n">
        <x:f>(E1071-F1071)*H1071</x:f>
        <x:v>42</x:v>
      </x:c>
      <x:c r="O1071" s="19" t="n">
        <x:f>F1071*J1071</x:f>
        <x:v>0</x:v>
      </x:c>
      <x:c r="P1071" s="19" t="n">
        <x:f>M1071-N1071-O1071</x:f>
        <x:v>48</x:v>
      </x:c>
    </x:row>
    <x:row r="1072">
      <x:c r="A1072" s="15" t="str">
        <x:v>SIM-1068</x:v>
      </x:c>
      <x:c r="B1072" s="15" t="str">
        <x:v>2026-05</x:v>
      </x:c>
      <x:c r="C1072" s="15" t="str">
        <x:v>Prendas</x:v>
      </x:c>
      <x:c r="D1072" s="15" t="str">
        <x:v>Online</x:v>
      </x:c>
      <x:c r="E1072" s="15" t="n">
        <x:v>1</x:v>
      </x:c>
      <x:c r="F1072" s="15" t="n">
        <x:v>0</x:v>
      </x:c>
      <x:c r="G1072" s="19" t="n">
        <x:v>60</x:v>
      </x:c>
      <x:c r="H1072" s="19" t="n">
        <x:v>24</x:v>
      </x:c>
      <x:c r="I1072" s="17" t="n">
        <x:v>0.1</x:v>
      </x:c>
      <x:c r="J1072" s="19" t="n">
        <x:v>6</x:v>
      </x:c>
      <x:c r="K1072" s="19" t="n">
        <x:f>E1072*G1072</x:f>
        <x:v>60</x:v>
      </x:c>
      <x:c r="L1072" s="19" t="n">
        <x:f>K1072*I1072</x:f>
        <x:v>6</x:v>
      </x:c>
      <x:c r="M1072" s="19" t="n">
        <x:f>(E1072-F1072)*G1072*(1-I1072)</x:f>
        <x:v>54</x:v>
      </x:c>
      <x:c r="N1072" s="19" t="n">
        <x:f>(E1072-F1072)*H1072</x:f>
        <x:v>24</x:v>
      </x:c>
      <x:c r="O1072" s="19" t="n">
        <x:f>F1072*J1072</x:f>
        <x:v>0</x:v>
      </x:c>
      <x:c r="P1072" s="19" t="n">
        <x:f>M1072-N1072-O1072</x:f>
        <x:v>30</x:v>
      </x:c>
    </x:row>
    <x:row r="1073">
      <x:c r="A1073" s="15" t="str">
        <x:v>SIM-1069</x:v>
      </x:c>
      <x:c r="B1073" s="15" t="str">
        <x:v>2026-05</x:v>
      </x:c>
      <x:c r="C1073" s="15" t="str">
        <x:v>Calzado</x:v>
      </x:c>
      <x:c r="D1073" s="15" t="str">
        <x:v>Online</x:v>
      </x:c>
      <x:c r="E1073" s="15" t="n">
        <x:v>1</x:v>
      </x:c>
      <x:c r="F1073" s="15" t="n">
        <x:v>0</x:v>
      </x:c>
      <x:c r="G1073" s="19" t="n">
        <x:v>90</x:v>
      </x:c>
      <x:c r="H1073" s="19" t="n">
        <x:v>42</x:v>
      </x:c>
      <x:c r="I1073" s="17" t="n">
        <x:v>0.2</x:v>
      </x:c>
      <x:c r="J1073" s="19" t="n">
        <x:v>6</x:v>
      </x:c>
      <x:c r="K1073" s="19" t="n">
        <x:f>E1073*G1073</x:f>
        <x:v>90</x:v>
      </x:c>
      <x:c r="L1073" s="19" t="n">
        <x:f>K1073*I1073</x:f>
        <x:v>18</x:v>
      </x:c>
      <x:c r="M1073" s="19" t="n">
        <x:f>(E1073-F1073)*G1073*(1-I1073)</x:f>
        <x:v>72</x:v>
      </x:c>
      <x:c r="N1073" s="19" t="n">
        <x:f>(E1073-F1073)*H1073</x:f>
        <x:v>42</x:v>
      </x:c>
      <x:c r="O1073" s="19" t="n">
        <x:f>F1073*J1073</x:f>
        <x:v>0</x:v>
      </x:c>
      <x:c r="P1073" s="19" t="n">
        <x:f>M1073-N1073-O1073</x:f>
        <x:v>30</x:v>
      </x:c>
    </x:row>
    <x:row r="1074">
      <x:c r="A1074" s="15" t="str">
        <x:v>SIM-1070</x:v>
      </x:c>
      <x:c r="B1074" s="15" t="str">
        <x:v>2026-05</x:v>
      </x:c>
      <x:c r="C1074" s="15" t="str">
        <x:v>Calzado</x:v>
      </x:c>
      <x:c r="D1074" s="15" t="str">
        <x:v>Tienda</x:v>
      </x:c>
      <x:c r="E1074" s="15" t="n">
        <x:v>1</x:v>
      </x:c>
      <x:c r="F1074" s="15" t="n">
        <x:v>0</x:v>
      </x:c>
      <x:c r="G1074" s="19" t="n">
        <x:v>90</x:v>
      </x:c>
      <x:c r="H1074" s="19" t="n">
        <x:v>42</x:v>
      </x:c>
      <x:c r="I1074" s="17" t="n">
        <x:v>0.3</x:v>
      </x:c>
      <x:c r="J1074" s="19" t="n">
        <x:v>2</x:v>
      </x:c>
      <x:c r="K1074" s="19" t="n">
        <x:f>E1074*G1074</x:f>
        <x:v>90</x:v>
      </x:c>
      <x:c r="L1074" s="19" t="n">
        <x:f>K1074*I1074</x:f>
        <x:v>27</x:v>
      </x:c>
      <x:c r="M1074" s="19" t="n">
        <x:f>(E1074-F1074)*G1074*(1-I1074)</x:f>
        <x:v>62.99999999999999</x:v>
      </x:c>
      <x:c r="N1074" s="19" t="n">
        <x:f>(E1074-F1074)*H1074</x:f>
        <x:v>42</x:v>
      </x:c>
      <x:c r="O1074" s="19" t="n">
        <x:f>F1074*J1074</x:f>
        <x:v>0</x:v>
      </x:c>
      <x:c r="P1074" s="19" t="n">
        <x:f>M1074-N1074-O1074</x:f>
        <x:v>20.999999999999993</x:v>
      </x:c>
    </x:row>
    <x:row r="1075">
      <x:c r="A1075" s="15" t="str">
        <x:v>SIM-1071</x:v>
      </x:c>
      <x:c r="B1075" s="15" t="str">
        <x:v>2026-05</x:v>
      </x:c>
      <x:c r="C1075" s="15" t="str">
        <x:v>Prendas</x:v>
      </x:c>
      <x:c r="D1075" s="15" t="str">
        <x:v>Online</x:v>
      </x:c>
      <x:c r="E1075" s="15" t="n">
        <x:v>1</x:v>
      </x:c>
      <x:c r="F1075" s="15" t="n">
        <x:v>0</x:v>
      </x:c>
      <x:c r="G1075" s="19" t="n">
        <x:v>60</x:v>
      </x:c>
      <x:c r="H1075" s="19" t="n">
        <x:v>24</x:v>
      </x:c>
      <x:c r="I1075" s="17" t="n">
        <x:v>0</x:v>
      </x:c>
      <x:c r="J1075" s="19" t="n">
        <x:v>6</x:v>
      </x:c>
      <x:c r="K1075" s="19" t="n">
        <x:f>E1075*G1075</x:f>
        <x:v>60</x:v>
      </x:c>
      <x:c r="L1075" s="19" t="n">
        <x:f>K1075*I1075</x:f>
        <x:v>0</x:v>
      </x:c>
      <x:c r="M1075" s="19" t="n">
        <x:f>(E1075-F1075)*G1075*(1-I1075)</x:f>
        <x:v>60</x:v>
      </x:c>
      <x:c r="N1075" s="19" t="n">
        <x:f>(E1075-F1075)*H1075</x:f>
        <x:v>24</x:v>
      </x:c>
      <x:c r="O1075" s="19" t="n">
        <x:f>F1075*J1075</x:f>
        <x:v>0</x:v>
      </x:c>
      <x:c r="P1075" s="19" t="n">
        <x:f>M1075-N1075-O1075</x:f>
        <x:v>36</x:v>
      </x:c>
    </x:row>
    <x:row r="1076">
      <x:c r="A1076" s="15" t="str">
        <x:v>SIM-1072</x:v>
      </x:c>
      <x:c r="B1076" s="15" t="str">
        <x:v>2026-05</x:v>
      </x:c>
      <x:c r="C1076" s="15" t="str">
        <x:v>Calzado</x:v>
      </x:c>
      <x:c r="D1076" s="15" t="str">
        <x:v>Online</x:v>
      </x:c>
      <x:c r="E1076" s="15" t="n">
        <x:v>1</x:v>
      </x:c>
      <x:c r="F1076" s="15" t="n">
        <x:v>0</x:v>
      </x:c>
      <x:c r="G1076" s="19" t="n">
        <x:v>90</x:v>
      </x:c>
      <x:c r="H1076" s="19" t="n">
        <x:v>42</x:v>
      </x:c>
      <x:c r="I1076" s="17" t="n">
        <x:v>0.2</x:v>
      </x:c>
      <x:c r="J1076" s="19" t="n">
        <x:v>6</x:v>
      </x:c>
      <x:c r="K1076" s="19" t="n">
        <x:f>E1076*G1076</x:f>
        <x:v>90</x:v>
      </x:c>
      <x:c r="L1076" s="19" t="n">
        <x:f>K1076*I1076</x:f>
        <x:v>18</x:v>
      </x:c>
      <x:c r="M1076" s="19" t="n">
        <x:f>(E1076-F1076)*G1076*(1-I1076)</x:f>
        <x:v>72</x:v>
      </x:c>
      <x:c r="N1076" s="19" t="n">
        <x:f>(E1076-F1076)*H1076</x:f>
        <x:v>42</x:v>
      </x:c>
      <x:c r="O1076" s="19" t="n">
        <x:f>F1076*J1076</x:f>
        <x:v>0</x:v>
      </x:c>
      <x:c r="P1076" s="19" t="n">
        <x:f>M1076-N1076-O1076</x:f>
        <x:v>30</x:v>
      </x:c>
    </x:row>
    <x:row r="1077">
      <x:c r="A1077" s="15" t="str">
        <x:v>SIM-1073</x:v>
      </x:c>
      <x:c r="B1077" s="15" t="str">
        <x:v>2026-05</x:v>
      </x:c>
      <x:c r="C1077" s="15" t="str">
        <x:v>Calzado</x:v>
      </x:c>
      <x:c r="D1077" s="15" t="str">
        <x:v>Online</x:v>
      </x:c>
      <x:c r="E1077" s="15" t="n">
        <x:v>1</x:v>
      </x:c>
      <x:c r="F1077" s="15" t="n">
        <x:v>0</x:v>
      </x:c>
      <x:c r="G1077" s="19" t="n">
        <x:v>90</x:v>
      </x:c>
      <x:c r="H1077" s="19" t="n">
        <x:v>42</x:v>
      </x:c>
      <x:c r="I1077" s="17" t="n">
        <x:v>0</x:v>
      </x:c>
      <x:c r="J1077" s="19" t="n">
        <x:v>6</x:v>
      </x:c>
      <x:c r="K1077" s="19" t="n">
        <x:f>E1077*G1077</x:f>
        <x:v>90</x:v>
      </x:c>
      <x:c r="L1077" s="19" t="n">
        <x:f>K1077*I1077</x:f>
        <x:v>0</x:v>
      </x:c>
      <x:c r="M1077" s="19" t="n">
        <x:f>(E1077-F1077)*G1077*(1-I1077)</x:f>
        <x:v>90</x:v>
      </x:c>
      <x:c r="N1077" s="19" t="n">
        <x:f>(E1077-F1077)*H1077</x:f>
        <x:v>42</x:v>
      </x:c>
      <x:c r="O1077" s="19" t="n">
        <x:f>F1077*J1077</x:f>
        <x:v>0</x:v>
      </x:c>
      <x:c r="P1077" s="19" t="n">
        <x:f>M1077-N1077-O1077</x:f>
        <x:v>48</x:v>
      </x:c>
    </x:row>
    <x:row r="1078">
      <x:c r="A1078" s="15" t="str">
        <x:v>SIM-1074</x:v>
      </x:c>
      <x:c r="B1078" s="15" t="str">
        <x:v>2026-05</x:v>
      </x:c>
      <x:c r="C1078" s="15" t="str">
        <x:v>Calzado</x:v>
      </x:c>
      <x:c r="D1078" s="15" t="str">
        <x:v>Online</x:v>
      </x:c>
      <x:c r="E1078" s="15" t="n">
        <x:v>2</x:v>
      </x:c>
      <x:c r="F1078" s="15" t="n">
        <x:v>0</x:v>
      </x:c>
      <x:c r="G1078" s="19" t="n">
        <x:v>90</x:v>
      </x:c>
      <x:c r="H1078" s="19" t="n">
        <x:v>42</x:v>
      </x:c>
      <x:c r="I1078" s="17" t="n">
        <x:v>0.2</x:v>
      </x:c>
      <x:c r="J1078" s="19" t="n">
        <x:v>6</x:v>
      </x:c>
      <x:c r="K1078" s="19" t="n">
        <x:f>E1078*G1078</x:f>
        <x:v>180</x:v>
      </x:c>
      <x:c r="L1078" s="19" t="n">
        <x:f>K1078*I1078</x:f>
        <x:v>36</x:v>
      </x:c>
      <x:c r="M1078" s="19" t="n">
        <x:f>(E1078-F1078)*G1078*(1-I1078)</x:f>
        <x:v>144</x:v>
      </x:c>
      <x:c r="N1078" s="19" t="n">
        <x:f>(E1078-F1078)*H1078</x:f>
        <x:v>84</x:v>
      </x:c>
      <x:c r="O1078" s="19" t="n">
        <x:f>F1078*J1078</x:f>
        <x:v>0</x:v>
      </x:c>
      <x:c r="P1078" s="19" t="n">
        <x:f>M1078-N1078-O1078</x:f>
        <x:v>60</x:v>
      </x:c>
    </x:row>
    <x:row r="1079">
      <x:c r="A1079" s="15" t="str">
        <x:v>SIM-1075</x:v>
      </x:c>
      <x:c r="B1079" s="15" t="str">
        <x:v>2026-05</x:v>
      </x:c>
      <x:c r="C1079" s="15" t="str">
        <x:v>Accesorios</x:v>
      </x:c>
      <x:c r="D1079" s="15" t="str">
        <x:v>Online</x:v>
      </x:c>
      <x:c r="E1079" s="15" t="n">
        <x:v>1</x:v>
      </x:c>
      <x:c r="F1079" s="15" t="n">
        <x:v>0</x:v>
      </x:c>
      <x:c r="G1079" s="19" t="n">
        <x:v>30</x:v>
      </x:c>
      <x:c r="H1079" s="19" t="n">
        <x:v>9</x:v>
      </x:c>
      <x:c r="I1079" s="17" t="n">
        <x:v>0</x:v>
      </x:c>
      <x:c r="J1079" s="19" t="n">
        <x:v>6</x:v>
      </x:c>
      <x:c r="K1079" s="19" t="n">
        <x:f>E1079*G1079</x:f>
        <x:v>30</x:v>
      </x:c>
      <x:c r="L1079" s="19" t="n">
        <x:f>K1079*I1079</x:f>
        <x:v>0</x:v>
      </x:c>
      <x:c r="M1079" s="19" t="n">
        <x:f>(E1079-F1079)*G1079*(1-I1079)</x:f>
        <x:v>30</x:v>
      </x:c>
      <x:c r="N1079" s="19" t="n">
        <x:f>(E1079-F1079)*H1079</x:f>
        <x:v>9</x:v>
      </x:c>
      <x:c r="O1079" s="19" t="n">
        <x:f>F1079*J1079</x:f>
        <x:v>0</x:v>
      </x:c>
      <x:c r="P1079" s="19" t="n">
        <x:f>M1079-N1079-O1079</x:f>
        <x:v>21</x:v>
      </x:c>
    </x:row>
    <x:row r="1080">
      <x:c r="A1080" s="15" t="str">
        <x:v>SIM-1076</x:v>
      </x:c>
      <x:c r="B1080" s="15" t="str">
        <x:v>2026-05</x:v>
      </x:c>
      <x:c r="C1080" s="15" t="str">
        <x:v>Accesorios</x:v>
      </x:c>
      <x:c r="D1080" s="15" t="str">
        <x:v>Tienda</x:v>
      </x:c>
      <x:c r="E1080" s="15" t="n">
        <x:v>1</x:v>
      </x:c>
      <x:c r="F1080" s="15" t="n">
        <x:v>0</x:v>
      </x:c>
      <x:c r="G1080" s="19" t="n">
        <x:v>30</x:v>
      </x:c>
      <x:c r="H1080" s="19" t="n">
        <x:v>9</x:v>
      </x:c>
      <x:c r="I1080" s="17" t="n">
        <x:v>0.3</x:v>
      </x:c>
      <x:c r="J1080" s="19" t="n">
        <x:v>2</x:v>
      </x:c>
      <x:c r="K1080" s="19" t="n">
        <x:f>E1080*G1080</x:f>
        <x:v>30</x:v>
      </x:c>
      <x:c r="L1080" s="19" t="n">
        <x:f>K1080*I1080</x:f>
        <x:v>9</x:v>
      </x:c>
      <x:c r="M1080" s="19" t="n">
        <x:f>(E1080-F1080)*G1080*(1-I1080)</x:f>
        <x:v>21</x:v>
      </x:c>
      <x:c r="N1080" s="19" t="n">
        <x:f>(E1080-F1080)*H1080</x:f>
        <x:v>9</x:v>
      </x:c>
      <x:c r="O1080" s="19" t="n">
        <x:f>F1080*J1080</x:f>
        <x:v>0</x:v>
      </x:c>
      <x:c r="P1080" s="19" t="n">
        <x:f>M1080-N1080-O1080</x:f>
        <x:v>12</x:v>
      </x:c>
    </x:row>
    <x:row r="1081">
      <x:c r="A1081" s="15" t="str">
        <x:v>SIM-1077</x:v>
      </x:c>
      <x:c r="B1081" s="15" t="str">
        <x:v>2026-05</x:v>
      </x:c>
      <x:c r="C1081" s="15" t="str">
        <x:v>Prendas</x:v>
      </x:c>
      <x:c r="D1081" s="15" t="str">
        <x:v>Tienda</x:v>
      </x:c>
      <x:c r="E1081" s="15" t="n">
        <x:v>2</x:v>
      </x:c>
      <x:c r="F1081" s="15" t="n">
        <x:v>0</x:v>
      </x:c>
      <x:c r="G1081" s="19" t="n">
        <x:v>60</x:v>
      </x:c>
      <x:c r="H1081" s="19" t="n">
        <x:v>24</x:v>
      </x:c>
      <x:c r="I1081" s="17" t="n">
        <x:v>0.2</x:v>
      </x:c>
      <x:c r="J1081" s="19" t="n">
        <x:v>2</x:v>
      </x:c>
      <x:c r="K1081" s="19" t="n">
        <x:f>E1081*G1081</x:f>
        <x:v>120</x:v>
      </x:c>
      <x:c r="L1081" s="19" t="n">
        <x:f>K1081*I1081</x:f>
        <x:v>24</x:v>
      </x:c>
      <x:c r="M1081" s="19" t="n">
        <x:f>(E1081-F1081)*G1081*(1-I1081)</x:f>
        <x:v>96</x:v>
      </x:c>
      <x:c r="N1081" s="19" t="n">
        <x:f>(E1081-F1081)*H1081</x:f>
        <x:v>48</x:v>
      </x:c>
      <x:c r="O1081" s="19" t="n">
        <x:f>F1081*J1081</x:f>
        <x:v>0</x:v>
      </x:c>
      <x:c r="P1081" s="19" t="n">
        <x:f>M1081-N1081-O1081</x:f>
        <x:v>48</x:v>
      </x:c>
    </x:row>
    <x:row r="1082">
      <x:c r="A1082" s="15" t="str">
        <x:v>SIM-1078</x:v>
      </x:c>
      <x:c r="B1082" s="15" t="str">
        <x:v>2026-05</x:v>
      </x:c>
      <x:c r="C1082" s="15" t="str">
        <x:v>Prendas</x:v>
      </x:c>
      <x:c r="D1082" s="15" t="str">
        <x:v>Tienda</x:v>
      </x:c>
      <x:c r="E1082" s="15" t="n">
        <x:v>1</x:v>
      </x:c>
      <x:c r="F1082" s="15" t="n">
        <x:v>0</x:v>
      </x:c>
      <x:c r="G1082" s="19" t="n">
        <x:v>60</x:v>
      </x:c>
      <x:c r="H1082" s="19" t="n">
        <x:v>24</x:v>
      </x:c>
      <x:c r="I1082" s="17" t="n">
        <x:v>0.2</x:v>
      </x:c>
      <x:c r="J1082" s="19" t="n">
        <x:v>2</x:v>
      </x:c>
      <x:c r="K1082" s="19" t="n">
        <x:f>E1082*G1082</x:f>
        <x:v>60</x:v>
      </x:c>
      <x:c r="L1082" s="19" t="n">
        <x:f>K1082*I1082</x:f>
        <x:v>12</x:v>
      </x:c>
      <x:c r="M1082" s="19" t="n">
        <x:f>(E1082-F1082)*G1082*(1-I1082)</x:f>
        <x:v>48</x:v>
      </x:c>
      <x:c r="N1082" s="19" t="n">
        <x:f>(E1082-F1082)*H1082</x:f>
        <x:v>24</x:v>
      </x:c>
      <x:c r="O1082" s="19" t="n">
        <x:f>F1082*J1082</x:f>
        <x:v>0</x:v>
      </x:c>
      <x:c r="P1082" s="19" t="n">
        <x:f>M1082-N1082-O1082</x:f>
        <x:v>24</x:v>
      </x:c>
    </x:row>
    <x:row r="1083">
      <x:c r="A1083" s="15" t="str">
        <x:v>SIM-1079</x:v>
      </x:c>
      <x:c r="B1083" s="15" t="str">
        <x:v>2026-05</x:v>
      </x:c>
      <x:c r="C1083" s="15" t="str">
        <x:v>Prendas</x:v>
      </x:c>
      <x:c r="D1083" s="15" t="str">
        <x:v>Tienda</x:v>
      </x:c>
      <x:c r="E1083" s="15" t="n">
        <x:v>1</x:v>
      </x:c>
      <x:c r="F1083" s="15" t="n">
        <x:v>0</x:v>
      </x:c>
      <x:c r="G1083" s="19" t="n">
        <x:v>60</x:v>
      </x:c>
      <x:c r="H1083" s="19" t="n">
        <x:v>24</x:v>
      </x:c>
      <x:c r="I1083" s="17" t="n">
        <x:v>0.2</x:v>
      </x:c>
      <x:c r="J1083" s="19" t="n">
        <x:v>2</x:v>
      </x:c>
      <x:c r="K1083" s="19" t="n">
        <x:f>E1083*G1083</x:f>
        <x:v>60</x:v>
      </x:c>
      <x:c r="L1083" s="19" t="n">
        <x:f>K1083*I1083</x:f>
        <x:v>12</x:v>
      </x:c>
      <x:c r="M1083" s="19" t="n">
        <x:f>(E1083-F1083)*G1083*(1-I1083)</x:f>
        <x:v>48</x:v>
      </x:c>
      <x:c r="N1083" s="19" t="n">
        <x:f>(E1083-F1083)*H1083</x:f>
        <x:v>24</x:v>
      </x:c>
      <x:c r="O1083" s="19" t="n">
        <x:f>F1083*J1083</x:f>
        <x:v>0</x:v>
      </x:c>
      <x:c r="P1083" s="19" t="n">
        <x:f>M1083-N1083-O1083</x:f>
        <x:v>24</x:v>
      </x:c>
    </x:row>
    <x:row r="1084">
      <x:c r="A1084" s="15" t="str">
        <x:v>SIM-1080</x:v>
      </x:c>
      <x:c r="B1084" s="15" t="str">
        <x:v>2026-05</x:v>
      </x:c>
      <x:c r="C1084" s="15" t="str">
        <x:v>Prendas</x:v>
      </x:c>
      <x:c r="D1084" s="15" t="str">
        <x:v>Tienda</x:v>
      </x:c>
      <x:c r="E1084" s="15" t="n">
        <x:v>1</x:v>
      </x:c>
      <x:c r="F1084" s="15" t="n">
        <x:v>0</x:v>
      </x:c>
      <x:c r="G1084" s="19" t="n">
        <x:v>60</x:v>
      </x:c>
      <x:c r="H1084" s="19" t="n">
        <x:v>24</x:v>
      </x:c>
      <x:c r="I1084" s="17" t="n">
        <x:v>0.1</x:v>
      </x:c>
      <x:c r="J1084" s="19" t="n">
        <x:v>2</x:v>
      </x:c>
      <x:c r="K1084" s="19" t="n">
        <x:f>E1084*G1084</x:f>
        <x:v>60</x:v>
      </x:c>
      <x:c r="L1084" s="19" t="n">
        <x:f>K1084*I1084</x:f>
        <x:v>6</x:v>
      </x:c>
      <x:c r="M1084" s="19" t="n">
        <x:f>(E1084-F1084)*G1084*(1-I1084)</x:f>
        <x:v>54</x:v>
      </x:c>
      <x:c r="N1084" s="19" t="n">
        <x:f>(E1084-F1084)*H1084</x:f>
        <x:v>24</x:v>
      </x:c>
      <x:c r="O1084" s="19" t="n">
        <x:f>F1084*J1084</x:f>
        <x:v>0</x:v>
      </x:c>
      <x:c r="P1084" s="19" t="n">
        <x:f>M1084-N1084-O1084</x:f>
        <x:v>30</x:v>
      </x:c>
    </x:row>
    <x:row r="1085">
      <x:c r="A1085" s="15" t="str">
        <x:v>SIM-1081</x:v>
      </x:c>
      <x:c r="B1085" s="15" t="str">
        <x:v>2026-05</x:v>
      </x:c>
      <x:c r="C1085" s="15" t="str">
        <x:v>Calzado</x:v>
      </x:c>
      <x:c r="D1085" s="15" t="str">
        <x:v>Tienda</x:v>
      </x:c>
      <x:c r="E1085" s="15" t="n">
        <x:v>1</x:v>
      </x:c>
      <x:c r="F1085" s="15" t="n">
        <x:v>0</x:v>
      </x:c>
      <x:c r="G1085" s="19" t="n">
        <x:v>90</x:v>
      </x:c>
      <x:c r="H1085" s="19" t="n">
        <x:v>42</x:v>
      </x:c>
      <x:c r="I1085" s="17" t="n">
        <x:v>0</x:v>
      </x:c>
      <x:c r="J1085" s="19" t="n">
        <x:v>2</x:v>
      </x:c>
      <x:c r="K1085" s="19" t="n">
        <x:f>E1085*G1085</x:f>
        <x:v>90</x:v>
      </x:c>
      <x:c r="L1085" s="19" t="n">
        <x:f>K1085*I1085</x:f>
        <x:v>0</x:v>
      </x:c>
      <x:c r="M1085" s="19" t="n">
        <x:f>(E1085-F1085)*G1085*(1-I1085)</x:f>
        <x:v>90</x:v>
      </x:c>
      <x:c r="N1085" s="19" t="n">
        <x:f>(E1085-F1085)*H1085</x:f>
        <x:v>42</x:v>
      </x:c>
      <x:c r="O1085" s="19" t="n">
        <x:f>F1085*J1085</x:f>
        <x:v>0</x:v>
      </x:c>
      <x:c r="P1085" s="19" t="n">
        <x:f>M1085-N1085-O1085</x:f>
        <x:v>48</x:v>
      </x:c>
    </x:row>
    <x:row r="1086">
      <x:c r="A1086" s="15" t="str">
        <x:v>SIM-1082</x:v>
      </x:c>
      <x:c r="B1086" s="15" t="str">
        <x:v>2026-05</x:v>
      </x:c>
      <x:c r="C1086" s="15" t="str">
        <x:v>Accesorios</x:v>
      </x:c>
      <x:c r="D1086" s="15" t="str">
        <x:v>Tienda</x:v>
      </x:c>
      <x:c r="E1086" s="15" t="n">
        <x:v>1</x:v>
      </x:c>
      <x:c r="F1086" s="15" t="n">
        <x:v>0</x:v>
      </x:c>
      <x:c r="G1086" s="19" t="n">
        <x:v>30</x:v>
      </x:c>
      <x:c r="H1086" s="19" t="n">
        <x:v>9</x:v>
      </x:c>
      <x:c r="I1086" s="17" t="n">
        <x:v>0</x:v>
      </x:c>
      <x:c r="J1086" s="19" t="n">
        <x:v>2</x:v>
      </x:c>
      <x:c r="K1086" s="19" t="n">
        <x:f>E1086*G1086</x:f>
        <x:v>30</x:v>
      </x:c>
      <x:c r="L1086" s="19" t="n">
        <x:f>K1086*I1086</x:f>
        <x:v>0</x:v>
      </x:c>
      <x:c r="M1086" s="19" t="n">
        <x:f>(E1086-F1086)*G1086*(1-I1086)</x:f>
        <x:v>30</x:v>
      </x:c>
      <x:c r="N1086" s="19" t="n">
        <x:f>(E1086-F1086)*H1086</x:f>
        <x:v>9</x:v>
      </x:c>
      <x:c r="O1086" s="19" t="n">
        <x:f>F1086*J1086</x:f>
        <x:v>0</x:v>
      </x:c>
      <x:c r="P1086" s="19" t="n">
        <x:f>M1086-N1086-O1086</x:f>
        <x:v>21</x:v>
      </x:c>
    </x:row>
    <x:row r="1087">
      <x:c r="A1087" s="15" t="str">
        <x:v>SIM-1083</x:v>
      </x:c>
      <x:c r="B1087" s="15" t="str">
        <x:v>2026-05</x:v>
      </x:c>
      <x:c r="C1087" s="15" t="str">
        <x:v>Accesorios</x:v>
      </x:c>
      <x:c r="D1087" s="15" t="str">
        <x:v>Tienda</x:v>
      </x:c>
      <x:c r="E1087" s="15" t="n">
        <x:v>1</x:v>
      </x:c>
      <x:c r="F1087" s="15" t="n">
        <x:v>0</x:v>
      </x:c>
      <x:c r="G1087" s="19" t="n">
        <x:v>30</x:v>
      </x:c>
      <x:c r="H1087" s="19" t="n">
        <x:v>9</x:v>
      </x:c>
      <x:c r="I1087" s="17" t="n">
        <x:v>0</x:v>
      </x:c>
      <x:c r="J1087" s="19" t="n">
        <x:v>2</x:v>
      </x:c>
      <x:c r="K1087" s="19" t="n">
        <x:f>E1087*G1087</x:f>
        <x:v>30</x:v>
      </x:c>
      <x:c r="L1087" s="19" t="n">
        <x:f>K1087*I1087</x:f>
        <x:v>0</x:v>
      </x:c>
      <x:c r="M1087" s="19" t="n">
        <x:f>(E1087-F1087)*G1087*(1-I1087)</x:f>
        <x:v>30</x:v>
      </x:c>
      <x:c r="N1087" s="19" t="n">
        <x:f>(E1087-F1087)*H1087</x:f>
        <x:v>9</x:v>
      </x:c>
      <x:c r="O1087" s="19" t="n">
        <x:f>F1087*J1087</x:f>
        <x:v>0</x:v>
      </x:c>
      <x:c r="P1087" s="19" t="n">
        <x:f>M1087-N1087-O1087</x:f>
        <x:v>21</x:v>
      </x:c>
    </x:row>
    <x:row r="1088">
      <x:c r="A1088" s="15" t="str">
        <x:v>SIM-1084</x:v>
      </x:c>
      <x:c r="B1088" s="15" t="str">
        <x:v>2026-05</x:v>
      </x:c>
      <x:c r="C1088" s="15" t="str">
        <x:v>Accesorios</x:v>
      </x:c>
      <x:c r="D1088" s="15" t="str">
        <x:v>Tienda</x:v>
      </x:c>
      <x:c r="E1088" s="15" t="n">
        <x:v>1</x:v>
      </x:c>
      <x:c r="F1088" s="15" t="n">
        <x:v>0</x:v>
      </x:c>
      <x:c r="G1088" s="19" t="n">
        <x:v>30</x:v>
      </x:c>
      <x:c r="H1088" s="19" t="n">
        <x:v>9</x:v>
      </x:c>
      <x:c r="I1088" s="17" t="n">
        <x:v>0.3</x:v>
      </x:c>
      <x:c r="J1088" s="19" t="n">
        <x:v>2</x:v>
      </x:c>
      <x:c r="K1088" s="19" t="n">
        <x:f>E1088*G1088</x:f>
        <x:v>30</x:v>
      </x:c>
      <x:c r="L1088" s="19" t="n">
        <x:f>K1088*I1088</x:f>
        <x:v>9</x:v>
      </x:c>
      <x:c r="M1088" s="19" t="n">
        <x:f>(E1088-F1088)*G1088*(1-I1088)</x:f>
        <x:v>21</x:v>
      </x:c>
      <x:c r="N1088" s="19" t="n">
        <x:f>(E1088-F1088)*H1088</x:f>
        <x:v>9</x:v>
      </x:c>
      <x:c r="O1088" s="19" t="n">
        <x:f>F1088*J1088</x:f>
        <x:v>0</x:v>
      </x:c>
      <x:c r="P1088" s="19" t="n">
        <x:f>M1088-N1088-O1088</x:f>
        <x:v>12</x:v>
      </x:c>
    </x:row>
    <x:row r="1089">
      <x:c r="A1089" s="15" t="str">
        <x:v>SIM-1085</x:v>
      </x:c>
      <x:c r="B1089" s="15" t="str">
        <x:v>2026-05</x:v>
      </x:c>
      <x:c r="C1089" s="15" t="str">
        <x:v>Prendas</x:v>
      </x:c>
      <x:c r="D1089" s="15" t="str">
        <x:v>Online</x:v>
      </x:c>
      <x:c r="E1089" s="15" t="n">
        <x:v>1</x:v>
      </x:c>
      <x:c r="F1089" s="15" t="n">
        <x:v>0</x:v>
      </x:c>
      <x:c r="G1089" s="19" t="n">
        <x:v>60</x:v>
      </x:c>
      <x:c r="H1089" s="19" t="n">
        <x:v>24</x:v>
      </x:c>
      <x:c r="I1089" s="17" t="n">
        <x:v>0.3</x:v>
      </x:c>
      <x:c r="J1089" s="19" t="n">
        <x:v>6</x:v>
      </x:c>
      <x:c r="K1089" s="19" t="n">
        <x:f>E1089*G1089</x:f>
        <x:v>60</x:v>
      </x:c>
      <x:c r="L1089" s="19" t="n">
        <x:f>K1089*I1089</x:f>
        <x:v>18</x:v>
      </x:c>
      <x:c r="M1089" s="19" t="n">
        <x:f>(E1089-F1089)*G1089*(1-I1089)</x:f>
        <x:v>42</x:v>
      </x:c>
      <x:c r="N1089" s="19" t="n">
        <x:f>(E1089-F1089)*H1089</x:f>
        <x:v>24</x:v>
      </x:c>
      <x:c r="O1089" s="19" t="n">
        <x:f>F1089*J1089</x:f>
        <x:v>0</x:v>
      </x:c>
      <x:c r="P1089" s="19" t="n">
        <x:f>M1089-N1089-O1089</x:f>
        <x:v>18</x:v>
      </x:c>
    </x:row>
    <x:row r="1090">
      <x:c r="A1090" s="15" t="str">
        <x:v>SIM-1086</x:v>
      </x:c>
      <x:c r="B1090" s="15" t="str">
        <x:v>2026-05</x:v>
      </x:c>
      <x:c r="C1090" s="15" t="str">
        <x:v>Prendas</x:v>
      </x:c>
      <x:c r="D1090" s="15" t="str">
        <x:v>Tienda</x:v>
      </x:c>
      <x:c r="E1090" s="15" t="n">
        <x:v>1</x:v>
      </x:c>
      <x:c r="F1090" s="15" t="n">
        <x:v>0</x:v>
      </x:c>
      <x:c r="G1090" s="19" t="n">
        <x:v>60</x:v>
      </x:c>
      <x:c r="H1090" s="19" t="n">
        <x:v>24</x:v>
      </x:c>
      <x:c r="I1090" s="17" t="n">
        <x:v>0.2</x:v>
      </x:c>
      <x:c r="J1090" s="19" t="n">
        <x:v>2</x:v>
      </x:c>
      <x:c r="K1090" s="19" t="n">
        <x:f>E1090*G1090</x:f>
        <x:v>60</x:v>
      </x:c>
      <x:c r="L1090" s="19" t="n">
        <x:f>K1090*I1090</x:f>
        <x:v>12</x:v>
      </x:c>
      <x:c r="M1090" s="19" t="n">
        <x:f>(E1090-F1090)*G1090*(1-I1090)</x:f>
        <x:v>48</x:v>
      </x:c>
      <x:c r="N1090" s="19" t="n">
        <x:f>(E1090-F1090)*H1090</x:f>
        <x:v>24</x:v>
      </x:c>
      <x:c r="O1090" s="19" t="n">
        <x:f>F1090*J1090</x:f>
        <x:v>0</x:v>
      </x:c>
      <x:c r="P1090" s="19" t="n">
        <x:f>M1090-N1090-O1090</x:f>
        <x:v>24</x:v>
      </x:c>
    </x:row>
    <x:row r="1091">
      <x:c r="A1091" s="15" t="str">
        <x:v>SIM-1087</x:v>
      </x:c>
      <x:c r="B1091" s="15" t="str">
        <x:v>2026-05</x:v>
      </x:c>
      <x:c r="C1091" s="15" t="str">
        <x:v>Prendas</x:v>
      </x:c>
      <x:c r="D1091" s="15" t="str">
        <x:v>Tienda</x:v>
      </x:c>
      <x:c r="E1091" s="15" t="n">
        <x:v>1</x:v>
      </x:c>
      <x:c r="F1091" s="15" t="n">
        <x:v>0</x:v>
      </x:c>
      <x:c r="G1091" s="19" t="n">
        <x:v>60</x:v>
      </x:c>
      <x:c r="H1091" s="19" t="n">
        <x:v>24</x:v>
      </x:c>
      <x:c r="I1091" s="17" t="n">
        <x:v>0.3</x:v>
      </x:c>
      <x:c r="J1091" s="19" t="n">
        <x:v>2</x:v>
      </x:c>
      <x:c r="K1091" s="19" t="n">
        <x:f>E1091*G1091</x:f>
        <x:v>60</x:v>
      </x:c>
      <x:c r="L1091" s="19" t="n">
        <x:f>K1091*I1091</x:f>
        <x:v>18</x:v>
      </x:c>
      <x:c r="M1091" s="19" t="n">
        <x:f>(E1091-F1091)*G1091*(1-I1091)</x:f>
        <x:v>42</x:v>
      </x:c>
      <x:c r="N1091" s="19" t="n">
        <x:f>(E1091-F1091)*H1091</x:f>
        <x:v>24</x:v>
      </x:c>
      <x:c r="O1091" s="19" t="n">
        <x:f>F1091*J1091</x:f>
        <x:v>0</x:v>
      </x:c>
      <x:c r="P1091" s="19" t="n">
        <x:f>M1091-N1091-O1091</x:f>
        <x:v>18</x:v>
      </x:c>
    </x:row>
    <x:row r="1092">
      <x:c r="A1092" s="15" t="str">
        <x:v>SIM-1088</x:v>
      </x:c>
      <x:c r="B1092" s="15" t="str">
        <x:v>2026-05</x:v>
      </x:c>
      <x:c r="C1092" s="15" t="str">
        <x:v>Accesorios</x:v>
      </x:c>
      <x:c r="D1092" s="15" t="str">
        <x:v>Online</x:v>
      </x:c>
      <x:c r="E1092" s="15" t="n">
        <x:v>2</x:v>
      </x:c>
      <x:c r="F1092" s="15" t="n">
        <x:v>0</x:v>
      </x:c>
      <x:c r="G1092" s="19" t="n">
        <x:v>30</x:v>
      </x:c>
      <x:c r="H1092" s="19" t="n">
        <x:v>9</x:v>
      </x:c>
      <x:c r="I1092" s="17" t="n">
        <x:v>0.1</x:v>
      </x:c>
      <x:c r="J1092" s="19" t="n">
        <x:v>6</x:v>
      </x:c>
      <x:c r="K1092" s="19" t="n">
        <x:f>E1092*G1092</x:f>
        <x:v>60</x:v>
      </x:c>
      <x:c r="L1092" s="19" t="n">
        <x:f>K1092*I1092</x:f>
        <x:v>6</x:v>
      </x:c>
      <x:c r="M1092" s="19" t="n">
        <x:f>(E1092-F1092)*G1092*(1-I1092)</x:f>
        <x:v>54</x:v>
      </x:c>
      <x:c r="N1092" s="19" t="n">
        <x:f>(E1092-F1092)*H1092</x:f>
        <x:v>18</x:v>
      </x:c>
      <x:c r="O1092" s="19" t="n">
        <x:f>F1092*J1092</x:f>
        <x:v>0</x:v>
      </x:c>
      <x:c r="P1092" s="19" t="n">
        <x:f>M1092-N1092-O1092</x:f>
        <x:v>36</x:v>
      </x:c>
    </x:row>
    <x:row r="1093">
      <x:c r="A1093" s="15" t="str">
        <x:v>SIM-1089</x:v>
      </x:c>
      <x:c r="B1093" s="15" t="str">
        <x:v>2026-05</x:v>
      </x:c>
      <x:c r="C1093" s="15" t="str">
        <x:v>Prendas</x:v>
      </x:c>
      <x:c r="D1093" s="15" t="str">
        <x:v>Online</x:v>
      </x:c>
      <x:c r="E1093" s="15" t="n">
        <x:v>3</x:v>
      </x:c>
      <x:c r="F1093" s="15" t="n">
        <x:v>0</x:v>
      </x:c>
      <x:c r="G1093" s="19" t="n">
        <x:v>60</x:v>
      </x:c>
      <x:c r="H1093" s="19" t="n">
        <x:v>24</x:v>
      </x:c>
      <x:c r="I1093" s="17" t="n">
        <x:v>0.3</x:v>
      </x:c>
      <x:c r="J1093" s="19" t="n">
        <x:v>6</x:v>
      </x:c>
      <x:c r="K1093" s="19" t="n">
        <x:f>E1093*G1093</x:f>
        <x:v>180</x:v>
      </x:c>
      <x:c r="L1093" s="19" t="n">
        <x:f>K1093*I1093</x:f>
        <x:v>54</x:v>
      </x:c>
      <x:c r="M1093" s="19" t="n">
        <x:f>(E1093-F1093)*G1093*(1-I1093)</x:f>
        <x:v>125.99999999999999</x:v>
      </x:c>
      <x:c r="N1093" s="19" t="n">
        <x:f>(E1093-F1093)*H1093</x:f>
        <x:v>72</x:v>
      </x:c>
      <x:c r="O1093" s="19" t="n">
        <x:f>F1093*J1093</x:f>
        <x:v>0</x:v>
      </x:c>
      <x:c r="P1093" s="19" t="n">
        <x:f>M1093-N1093-O1093</x:f>
        <x:v>53.999999999999986</x:v>
      </x:c>
    </x:row>
    <x:row r="1094">
      <x:c r="A1094" s="15" t="str">
        <x:v>SIM-1090</x:v>
      </x:c>
      <x:c r="B1094" s="15" t="str">
        <x:v>2026-05</x:v>
      </x:c>
      <x:c r="C1094" s="15" t="str">
        <x:v>Prendas</x:v>
      </x:c>
      <x:c r="D1094" s="15" t="str">
        <x:v>Online</x:v>
      </x:c>
      <x:c r="E1094" s="15" t="n">
        <x:v>1</x:v>
      </x:c>
      <x:c r="F1094" s="15" t="n">
        <x:v>0</x:v>
      </x:c>
      <x:c r="G1094" s="19" t="n">
        <x:v>60</x:v>
      </x:c>
      <x:c r="H1094" s="19" t="n">
        <x:v>24</x:v>
      </x:c>
      <x:c r="I1094" s="17" t="n">
        <x:v>0</x:v>
      </x:c>
      <x:c r="J1094" s="19" t="n">
        <x:v>6</x:v>
      </x:c>
      <x:c r="K1094" s="19" t="n">
        <x:f>E1094*G1094</x:f>
        <x:v>60</x:v>
      </x:c>
      <x:c r="L1094" s="19" t="n">
        <x:f>K1094*I1094</x:f>
        <x:v>0</x:v>
      </x:c>
      <x:c r="M1094" s="19" t="n">
        <x:f>(E1094-F1094)*G1094*(1-I1094)</x:f>
        <x:v>60</x:v>
      </x:c>
      <x:c r="N1094" s="19" t="n">
        <x:f>(E1094-F1094)*H1094</x:f>
        <x:v>24</x:v>
      </x:c>
      <x:c r="O1094" s="19" t="n">
        <x:f>F1094*J1094</x:f>
        <x:v>0</x:v>
      </x:c>
      <x:c r="P1094" s="19" t="n">
        <x:f>M1094-N1094-O1094</x:f>
        <x:v>36</x:v>
      </x:c>
    </x:row>
    <x:row r="1095">
      <x:c r="A1095" s="15" t="str">
        <x:v>SIM-1091</x:v>
      </x:c>
      <x:c r="B1095" s="15" t="str">
        <x:v>2026-05</x:v>
      </x:c>
      <x:c r="C1095" s="15" t="str">
        <x:v>Accesorios</x:v>
      </x:c>
      <x:c r="D1095" s="15" t="str">
        <x:v>Online</x:v>
      </x:c>
      <x:c r="E1095" s="15" t="n">
        <x:v>1</x:v>
      </x:c>
      <x:c r="F1095" s="15" t="n">
        <x:v>0</x:v>
      </x:c>
      <x:c r="G1095" s="19" t="n">
        <x:v>30</x:v>
      </x:c>
      <x:c r="H1095" s="19" t="n">
        <x:v>9</x:v>
      </x:c>
      <x:c r="I1095" s="17" t="n">
        <x:v>0.1</x:v>
      </x:c>
      <x:c r="J1095" s="19" t="n">
        <x:v>6</x:v>
      </x:c>
      <x:c r="K1095" s="19" t="n">
        <x:f>E1095*G1095</x:f>
        <x:v>30</x:v>
      </x:c>
      <x:c r="L1095" s="19" t="n">
        <x:f>K1095*I1095</x:f>
        <x:v>3</x:v>
      </x:c>
      <x:c r="M1095" s="19" t="n">
        <x:f>(E1095-F1095)*G1095*(1-I1095)</x:f>
        <x:v>27</x:v>
      </x:c>
      <x:c r="N1095" s="19" t="n">
        <x:f>(E1095-F1095)*H1095</x:f>
        <x:v>9</x:v>
      </x:c>
      <x:c r="O1095" s="19" t="n">
        <x:f>F1095*J1095</x:f>
        <x:v>0</x:v>
      </x:c>
      <x:c r="P1095" s="19" t="n">
        <x:f>M1095-N1095-O1095</x:f>
        <x:v>18</x:v>
      </x:c>
    </x:row>
    <x:row r="1096">
      <x:c r="A1096" s="15" t="str">
        <x:v>SIM-1092</x:v>
      </x:c>
      <x:c r="B1096" s="15" t="str">
        <x:v>2026-05</x:v>
      </x:c>
      <x:c r="C1096" s="15" t="str">
        <x:v>Calzado</x:v>
      </x:c>
      <x:c r="D1096" s="15" t="str">
        <x:v>Online</x:v>
      </x:c>
      <x:c r="E1096" s="15" t="n">
        <x:v>1</x:v>
      </x:c>
      <x:c r="F1096" s="15" t="n">
        <x:v>0</x:v>
      </x:c>
      <x:c r="G1096" s="19" t="n">
        <x:v>90</x:v>
      </x:c>
      <x:c r="H1096" s="19" t="n">
        <x:v>42</x:v>
      </x:c>
      <x:c r="I1096" s="17" t="n">
        <x:v>0.3</x:v>
      </x:c>
      <x:c r="J1096" s="19" t="n">
        <x:v>6</x:v>
      </x:c>
      <x:c r="K1096" s="19" t="n">
        <x:f>E1096*G1096</x:f>
        <x:v>90</x:v>
      </x:c>
      <x:c r="L1096" s="19" t="n">
        <x:f>K1096*I1096</x:f>
        <x:v>27</x:v>
      </x:c>
      <x:c r="M1096" s="19" t="n">
        <x:f>(E1096-F1096)*G1096*(1-I1096)</x:f>
        <x:v>62.99999999999999</x:v>
      </x:c>
      <x:c r="N1096" s="19" t="n">
        <x:f>(E1096-F1096)*H1096</x:f>
        <x:v>42</x:v>
      </x:c>
      <x:c r="O1096" s="19" t="n">
        <x:f>F1096*J1096</x:f>
        <x:v>0</x:v>
      </x:c>
      <x:c r="P1096" s="19" t="n">
        <x:f>M1096-N1096-O1096</x:f>
        <x:v>20.999999999999993</x:v>
      </x:c>
    </x:row>
    <x:row r="1097">
      <x:c r="A1097" s="15" t="str">
        <x:v>SIM-1093</x:v>
      </x:c>
      <x:c r="B1097" s="15" t="str">
        <x:v>2026-05</x:v>
      </x:c>
      <x:c r="C1097" s="15" t="str">
        <x:v>Prendas</x:v>
      </x:c>
      <x:c r="D1097" s="15" t="str">
        <x:v>Online</x:v>
      </x:c>
      <x:c r="E1097" s="15" t="n">
        <x:v>1</x:v>
      </x:c>
      <x:c r="F1097" s="15" t="n">
        <x:v>0</x:v>
      </x:c>
      <x:c r="G1097" s="19" t="n">
        <x:v>60</x:v>
      </x:c>
      <x:c r="H1097" s="19" t="n">
        <x:v>24</x:v>
      </x:c>
      <x:c r="I1097" s="17" t="n">
        <x:v>0</x:v>
      </x:c>
      <x:c r="J1097" s="19" t="n">
        <x:v>6</x:v>
      </x:c>
      <x:c r="K1097" s="19" t="n">
        <x:f>E1097*G1097</x:f>
        <x:v>60</x:v>
      </x:c>
      <x:c r="L1097" s="19" t="n">
        <x:f>K1097*I1097</x:f>
        <x:v>0</x:v>
      </x:c>
      <x:c r="M1097" s="19" t="n">
        <x:f>(E1097-F1097)*G1097*(1-I1097)</x:f>
        <x:v>60</x:v>
      </x:c>
      <x:c r="N1097" s="19" t="n">
        <x:f>(E1097-F1097)*H1097</x:f>
        <x:v>24</x:v>
      </x:c>
      <x:c r="O1097" s="19" t="n">
        <x:f>F1097*J1097</x:f>
        <x:v>0</x:v>
      </x:c>
      <x:c r="P1097" s="19" t="n">
        <x:f>M1097-N1097-O1097</x:f>
        <x:v>36</x:v>
      </x:c>
    </x:row>
    <x:row r="1098">
      <x:c r="A1098" s="15" t="str">
        <x:v>SIM-1094</x:v>
      </x:c>
      <x:c r="B1098" s="15" t="str">
        <x:v>2026-05</x:v>
      </x:c>
      <x:c r="C1098" s="15" t="str">
        <x:v>Calzado</x:v>
      </x:c>
      <x:c r="D1098" s="15" t="str">
        <x:v>Tienda</x:v>
      </x:c>
      <x:c r="E1098" s="15" t="n">
        <x:v>1</x:v>
      </x:c>
      <x:c r="F1098" s="15" t="n">
        <x:v>0</x:v>
      </x:c>
      <x:c r="G1098" s="19" t="n">
        <x:v>90</x:v>
      </x:c>
      <x:c r="H1098" s="19" t="n">
        <x:v>42</x:v>
      </x:c>
      <x:c r="I1098" s="17" t="n">
        <x:v>0.1</x:v>
      </x:c>
      <x:c r="J1098" s="19" t="n">
        <x:v>2</x:v>
      </x:c>
      <x:c r="K1098" s="19" t="n">
        <x:f>E1098*G1098</x:f>
        <x:v>90</x:v>
      </x:c>
      <x:c r="L1098" s="19" t="n">
        <x:f>K1098*I1098</x:f>
        <x:v>9</x:v>
      </x:c>
      <x:c r="M1098" s="19" t="n">
        <x:f>(E1098-F1098)*G1098*(1-I1098)</x:f>
        <x:v>81</x:v>
      </x:c>
      <x:c r="N1098" s="19" t="n">
        <x:f>(E1098-F1098)*H1098</x:f>
        <x:v>42</x:v>
      </x:c>
      <x:c r="O1098" s="19" t="n">
        <x:f>F1098*J1098</x:f>
        <x:v>0</x:v>
      </x:c>
      <x:c r="P1098" s="19" t="n">
        <x:f>M1098-N1098-O1098</x:f>
        <x:v>39</x:v>
      </x:c>
    </x:row>
    <x:row r="1099">
      <x:c r="A1099" s="15" t="str">
        <x:v>SIM-1095</x:v>
      </x:c>
      <x:c r="B1099" s="15" t="str">
        <x:v>2026-05</x:v>
      </x:c>
      <x:c r="C1099" s="15" t="str">
        <x:v>Prendas</x:v>
      </x:c>
      <x:c r="D1099" s="15" t="str">
        <x:v>Tienda</x:v>
      </x:c>
      <x:c r="E1099" s="15" t="n">
        <x:v>1</x:v>
      </x:c>
      <x:c r="F1099" s="15" t="n">
        <x:v>0</x:v>
      </x:c>
      <x:c r="G1099" s="19" t="n">
        <x:v>60</x:v>
      </x:c>
      <x:c r="H1099" s="19" t="n">
        <x:v>24</x:v>
      </x:c>
      <x:c r="I1099" s="17" t="n">
        <x:v>0.3</x:v>
      </x:c>
      <x:c r="J1099" s="19" t="n">
        <x:v>2</x:v>
      </x:c>
      <x:c r="K1099" s="19" t="n">
        <x:f>E1099*G1099</x:f>
        <x:v>60</x:v>
      </x:c>
      <x:c r="L1099" s="19" t="n">
        <x:f>K1099*I1099</x:f>
        <x:v>18</x:v>
      </x:c>
      <x:c r="M1099" s="19" t="n">
        <x:f>(E1099-F1099)*G1099*(1-I1099)</x:f>
        <x:v>42</x:v>
      </x:c>
      <x:c r="N1099" s="19" t="n">
        <x:f>(E1099-F1099)*H1099</x:f>
        <x:v>24</x:v>
      </x:c>
      <x:c r="O1099" s="19" t="n">
        <x:f>F1099*J1099</x:f>
        <x:v>0</x:v>
      </x:c>
      <x:c r="P1099" s="19" t="n">
        <x:f>M1099-N1099-O1099</x:f>
        <x:v>18</x:v>
      </x:c>
    </x:row>
    <x:row r="1100">
      <x:c r="A1100" s="15" t="str">
        <x:v>SIM-1096</x:v>
      </x:c>
      <x:c r="B1100" s="15" t="str">
        <x:v>2026-05</x:v>
      </x:c>
      <x:c r="C1100" s="15" t="str">
        <x:v>Prendas</x:v>
      </x:c>
      <x:c r="D1100" s="15" t="str">
        <x:v>Online</x:v>
      </x:c>
      <x:c r="E1100" s="15" t="n">
        <x:v>2</x:v>
      </x:c>
      <x:c r="F1100" s="15" t="n">
        <x:v>0</x:v>
      </x:c>
      <x:c r="G1100" s="19" t="n">
        <x:v>60</x:v>
      </x:c>
      <x:c r="H1100" s="19" t="n">
        <x:v>24</x:v>
      </x:c>
      <x:c r="I1100" s="17" t="n">
        <x:v>0.3</x:v>
      </x:c>
      <x:c r="J1100" s="19" t="n">
        <x:v>6</x:v>
      </x:c>
      <x:c r="K1100" s="19" t="n">
        <x:f>E1100*G1100</x:f>
        <x:v>120</x:v>
      </x:c>
      <x:c r="L1100" s="19" t="n">
        <x:f>K1100*I1100</x:f>
        <x:v>36</x:v>
      </x:c>
      <x:c r="M1100" s="19" t="n">
        <x:f>(E1100-F1100)*G1100*(1-I1100)</x:f>
        <x:v>84</x:v>
      </x:c>
      <x:c r="N1100" s="19" t="n">
        <x:f>(E1100-F1100)*H1100</x:f>
        <x:v>48</x:v>
      </x:c>
      <x:c r="O1100" s="19" t="n">
        <x:f>F1100*J1100</x:f>
        <x:v>0</x:v>
      </x:c>
      <x:c r="P1100" s="19" t="n">
        <x:f>M1100-N1100-O1100</x:f>
        <x:v>36</x:v>
      </x:c>
    </x:row>
    <x:row r="1101">
      <x:c r="A1101" s="15" t="str">
        <x:v>SIM-1097</x:v>
      </x:c>
      <x:c r="B1101" s="15" t="str">
        <x:v>2026-05</x:v>
      </x:c>
      <x:c r="C1101" s="15" t="str">
        <x:v>Prendas</x:v>
      </x:c>
      <x:c r="D1101" s="15" t="str">
        <x:v>Tienda</x:v>
      </x:c>
      <x:c r="E1101" s="15" t="n">
        <x:v>1</x:v>
      </x:c>
      <x:c r="F1101" s="15" t="n">
        <x:v>0</x:v>
      </x:c>
      <x:c r="G1101" s="19" t="n">
        <x:v>60</x:v>
      </x:c>
      <x:c r="H1101" s="19" t="n">
        <x:v>24</x:v>
      </x:c>
      <x:c r="I1101" s="17" t="n">
        <x:v>0.3</x:v>
      </x:c>
      <x:c r="J1101" s="19" t="n">
        <x:v>2</x:v>
      </x:c>
      <x:c r="K1101" s="19" t="n">
        <x:f>E1101*G1101</x:f>
        <x:v>60</x:v>
      </x:c>
      <x:c r="L1101" s="19" t="n">
        <x:f>K1101*I1101</x:f>
        <x:v>18</x:v>
      </x:c>
      <x:c r="M1101" s="19" t="n">
        <x:f>(E1101-F1101)*G1101*(1-I1101)</x:f>
        <x:v>42</x:v>
      </x:c>
      <x:c r="N1101" s="19" t="n">
        <x:f>(E1101-F1101)*H1101</x:f>
        <x:v>24</x:v>
      </x:c>
      <x:c r="O1101" s="19" t="n">
        <x:f>F1101*J1101</x:f>
        <x:v>0</x:v>
      </x:c>
      <x:c r="P1101" s="19" t="n">
        <x:f>M1101-N1101-O1101</x:f>
        <x:v>18</x:v>
      </x:c>
    </x:row>
    <x:row r="1102">
      <x:c r="A1102" s="15" t="str">
        <x:v>SIM-1098</x:v>
      </x:c>
      <x:c r="B1102" s="15" t="str">
        <x:v>2026-05</x:v>
      </x:c>
      <x:c r="C1102" s="15" t="str">
        <x:v>Prendas</x:v>
      </x:c>
      <x:c r="D1102" s="15" t="str">
        <x:v>Tienda</x:v>
      </x:c>
      <x:c r="E1102" s="15" t="n">
        <x:v>3</x:v>
      </x:c>
      <x:c r="F1102" s="15" t="n">
        <x:v>1</x:v>
      </x:c>
      <x:c r="G1102" s="19" t="n">
        <x:v>60</x:v>
      </x:c>
      <x:c r="H1102" s="19" t="n">
        <x:v>24</x:v>
      </x:c>
      <x:c r="I1102" s="17" t="n">
        <x:v>0.3</x:v>
      </x:c>
      <x:c r="J1102" s="19" t="n">
        <x:v>2</x:v>
      </x:c>
      <x:c r="K1102" s="19" t="n">
        <x:f>E1102*G1102</x:f>
        <x:v>180</x:v>
      </x:c>
      <x:c r="L1102" s="19" t="n">
        <x:f>K1102*I1102</x:f>
        <x:v>54</x:v>
      </x:c>
      <x:c r="M1102" s="19" t="n">
        <x:f>(E1102-F1102)*G1102*(1-I1102)</x:f>
        <x:v>84</x:v>
      </x:c>
      <x:c r="N1102" s="19" t="n">
        <x:f>(E1102-F1102)*H1102</x:f>
        <x:v>48</x:v>
      </x:c>
      <x:c r="O1102" s="19" t="n">
        <x:f>F1102*J1102</x:f>
        <x:v>2</x:v>
      </x:c>
      <x:c r="P1102" s="19" t="n">
        <x:f>M1102-N1102-O1102</x:f>
        <x:v>34</x:v>
      </x:c>
    </x:row>
    <x:row r="1103">
      <x:c r="A1103" s="15" t="str">
        <x:v>SIM-1099</x:v>
      </x:c>
      <x:c r="B1103" s="15" t="str">
        <x:v>2026-05</x:v>
      </x:c>
      <x:c r="C1103" s="15" t="str">
        <x:v>Calzado</x:v>
      </x:c>
      <x:c r="D1103" s="15" t="str">
        <x:v>Tienda</x:v>
      </x:c>
      <x:c r="E1103" s="15" t="n">
        <x:v>1</x:v>
      </x:c>
      <x:c r="F1103" s="15" t="n">
        <x:v>0</x:v>
      </x:c>
      <x:c r="G1103" s="19" t="n">
        <x:v>90</x:v>
      </x:c>
      <x:c r="H1103" s="19" t="n">
        <x:v>42</x:v>
      </x:c>
      <x:c r="I1103" s="17" t="n">
        <x:v>0.1</x:v>
      </x:c>
      <x:c r="J1103" s="19" t="n">
        <x:v>2</x:v>
      </x:c>
      <x:c r="K1103" s="19" t="n">
        <x:f>E1103*G1103</x:f>
        <x:v>90</x:v>
      </x:c>
      <x:c r="L1103" s="19" t="n">
        <x:f>K1103*I1103</x:f>
        <x:v>9</x:v>
      </x:c>
      <x:c r="M1103" s="19" t="n">
        <x:f>(E1103-F1103)*G1103*(1-I1103)</x:f>
        <x:v>81</x:v>
      </x:c>
      <x:c r="N1103" s="19" t="n">
        <x:f>(E1103-F1103)*H1103</x:f>
        <x:v>42</x:v>
      </x:c>
      <x:c r="O1103" s="19" t="n">
        <x:f>F1103*J1103</x:f>
        <x:v>0</x:v>
      </x:c>
      <x:c r="P1103" s="19" t="n">
        <x:f>M1103-N1103-O1103</x:f>
        <x:v>39</x:v>
      </x:c>
    </x:row>
    <x:row r="1104">
      <x:c r="A1104" s="15" t="str">
        <x:v>SIM-1100</x:v>
      </x:c>
      <x:c r="B1104" s="15" t="str">
        <x:v>2026-05</x:v>
      </x:c>
      <x:c r="C1104" s="15" t="str">
        <x:v>Prendas</x:v>
      </x:c>
      <x:c r="D1104" s="15" t="str">
        <x:v>Tienda</x:v>
      </x:c>
      <x:c r="E1104" s="15" t="n">
        <x:v>3</x:v>
      </x:c>
      <x:c r="F1104" s="15" t="n">
        <x:v>0</x:v>
      </x:c>
      <x:c r="G1104" s="19" t="n">
        <x:v>60</x:v>
      </x:c>
      <x:c r="H1104" s="19" t="n">
        <x:v>24</x:v>
      </x:c>
      <x:c r="I1104" s="17" t="n">
        <x:v>0.2</x:v>
      </x:c>
      <x:c r="J1104" s="19" t="n">
        <x:v>2</x:v>
      </x:c>
      <x:c r="K1104" s="19" t="n">
        <x:f>E1104*G1104</x:f>
        <x:v>180</x:v>
      </x:c>
      <x:c r="L1104" s="19" t="n">
        <x:f>K1104*I1104</x:f>
        <x:v>36</x:v>
      </x:c>
      <x:c r="M1104" s="19" t="n">
        <x:f>(E1104-F1104)*G1104*(1-I1104)</x:f>
        <x:v>144</x:v>
      </x:c>
      <x:c r="N1104" s="19" t="n">
        <x:f>(E1104-F1104)*H1104</x:f>
        <x:v>72</x:v>
      </x:c>
      <x:c r="O1104" s="19" t="n">
        <x:f>F1104*J1104</x:f>
        <x:v>0</x:v>
      </x:c>
      <x:c r="P1104" s="19" t="n">
        <x:f>M1104-N1104-O1104</x:f>
        <x:v>72</x:v>
      </x:c>
    </x:row>
    <x:row r="1105">
      <x:c r="A1105" s="15" t="str">
        <x:v>SIM-1101</x:v>
      </x:c>
      <x:c r="B1105" s="15" t="str">
        <x:v>2026-05</x:v>
      </x:c>
      <x:c r="C1105" s="15" t="str">
        <x:v>Prendas</x:v>
      </x:c>
      <x:c r="D1105" s="15" t="str">
        <x:v>Online</x:v>
      </x:c>
      <x:c r="E1105" s="15" t="n">
        <x:v>2</x:v>
      </x:c>
      <x:c r="F1105" s="15" t="n">
        <x:v>0</x:v>
      </x:c>
      <x:c r="G1105" s="19" t="n">
        <x:v>60</x:v>
      </x:c>
      <x:c r="H1105" s="19" t="n">
        <x:v>24</x:v>
      </x:c>
      <x:c r="I1105" s="17" t="n">
        <x:v>0</x:v>
      </x:c>
      <x:c r="J1105" s="19" t="n">
        <x:v>6</x:v>
      </x:c>
      <x:c r="K1105" s="19" t="n">
        <x:f>E1105*G1105</x:f>
        <x:v>120</x:v>
      </x:c>
      <x:c r="L1105" s="19" t="n">
        <x:f>K1105*I1105</x:f>
        <x:v>0</x:v>
      </x:c>
      <x:c r="M1105" s="19" t="n">
        <x:f>(E1105-F1105)*G1105*(1-I1105)</x:f>
        <x:v>120</x:v>
      </x:c>
      <x:c r="N1105" s="19" t="n">
        <x:f>(E1105-F1105)*H1105</x:f>
        <x:v>48</x:v>
      </x:c>
      <x:c r="O1105" s="19" t="n">
        <x:f>F1105*J1105</x:f>
        <x:v>0</x:v>
      </x:c>
      <x:c r="P1105" s="19" t="n">
        <x:f>M1105-N1105-O1105</x:f>
        <x:v>72</x:v>
      </x:c>
    </x:row>
    <x:row r="1106">
      <x:c r="A1106" s="15" t="str">
        <x:v>SIM-1102</x:v>
      </x:c>
      <x:c r="B1106" s="15" t="str">
        <x:v>2026-05</x:v>
      </x:c>
      <x:c r="C1106" s="15" t="str">
        <x:v>Calzado</x:v>
      </x:c>
      <x:c r="D1106" s="15" t="str">
        <x:v>Tienda</x:v>
      </x:c>
      <x:c r="E1106" s="15" t="n">
        <x:v>1</x:v>
      </x:c>
      <x:c r="F1106" s="15" t="n">
        <x:v>0</x:v>
      </x:c>
      <x:c r="G1106" s="19" t="n">
        <x:v>90</x:v>
      </x:c>
      <x:c r="H1106" s="19" t="n">
        <x:v>42</x:v>
      </x:c>
      <x:c r="I1106" s="17" t="n">
        <x:v>0</x:v>
      </x:c>
      <x:c r="J1106" s="19" t="n">
        <x:v>2</x:v>
      </x:c>
      <x:c r="K1106" s="19" t="n">
        <x:f>E1106*G1106</x:f>
        <x:v>90</x:v>
      </x:c>
      <x:c r="L1106" s="19" t="n">
        <x:f>K1106*I1106</x:f>
        <x:v>0</x:v>
      </x:c>
      <x:c r="M1106" s="19" t="n">
        <x:f>(E1106-F1106)*G1106*(1-I1106)</x:f>
        <x:v>90</x:v>
      </x:c>
      <x:c r="N1106" s="19" t="n">
        <x:f>(E1106-F1106)*H1106</x:f>
        <x:v>42</x:v>
      </x:c>
      <x:c r="O1106" s="19" t="n">
        <x:f>F1106*J1106</x:f>
        <x:v>0</x:v>
      </x:c>
      <x:c r="P1106" s="19" t="n">
        <x:f>M1106-N1106-O1106</x:f>
        <x:v>48</x:v>
      </x:c>
    </x:row>
    <x:row r="1107">
      <x:c r="A1107" s="15" t="str">
        <x:v>SIM-1103</x:v>
      </x:c>
      <x:c r="B1107" s="15" t="str">
        <x:v>2026-05</x:v>
      </x:c>
      <x:c r="C1107" s="15" t="str">
        <x:v>Prendas</x:v>
      </x:c>
      <x:c r="D1107" s="15" t="str">
        <x:v>Online</x:v>
      </x:c>
      <x:c r="E1107" s="15" t="n">
        <x:v>1</x:v>
      </x:c>
      <x:c r="F1107" s="15" t="n">
        <x:v>0</x:v>
      </x:c>
      <x:c r="G1107" s="19" t="n">
        <x:v>60</x:v>
      </x:c>
      <x:c r="H1107" s="19" t="n">
        <x:v>24</x:v>
      </x:c>
      <x:c r="I1107" s="17" t="n">
        <x:v>0</x:v>
      </x:c>
      <x:c r="J1107" s="19" t="n">
        <x:v>6</x:v>
      </x:c>
      <x:c r="K1107" s="19" t="n">
        <x:f>E1107*G1107</x:f>
        <x:v>60</x:v>
      </x:c>
      <x:c r="L1107" s="19" t="n">
        <x:f>K1107*I1107</x:f>
        <x:v>0</x:v>
      </x:c>
      <x:c r="M1107" s="19" t="n">
        <x:f>(E1107-F1107)*G1107*(1-I1107)</x:f>
        <x:v>60</x:v>
      </x:c>
      <x:c r="N1107" s="19" t="n">
        <x:f>(E1107-F1107)*H1107</x:f>
        <x:v>24</x:v>
      </x:c>
      <x:c r="O1107" s="19" t="n">
        <x:f>F1107*J1107</x:f>
        <x:v>0</x:v>
      </x:c>
      <x:c r="P1107" s="19" t="n">
        <x:f>M1107-N1107-O1107</x:f>
        <x:v>36</x:v>
      </x:c>
    </x:row>
    <x:row r="1108">
      <x:c r="A1108" s="15" t="str">
        <x:v>SIM-1104</x:v>
      </x:c>
      <x:c r="B1108" s="15" t="str">
        <x:v>2026-05</x:v>
      </x:c>
      <x:c r="C1108" s="15" t="str">
        <x:v>Prendas</x:v>
      </x:c>
      <x:c r="D1108" s="15" t="str">
        <x:v>Online</x:v>
      </x:c>
      <x:c r="E1108" s="15" t="n">
        <x:v>1</x:v>
      </x:c>
      <x:c r="F1108" s="15" t="n">
        <x:v>0</x:v>
      </x:c>
      <x:c r="G1108" s="19" t="n">
        <x:v>60</x:v>
      </x:c>
      <x:c r="H1108" s="19" t="n">
        <x:v>24</x:v>
      </x:c>
      <x:c r="I1108" s="17" t="n">
        <x:v>0.2</x:v>
      </x:c>
      <x:c r="J1108" s="19" t="n">
        <x:v>6</x:v>
      </x:c>
      <x:c r="K1108" s="19" t="n">
        <x:f>E1108*G1108</x:f>
        <x:v>60</x:v>
      </x:c>
      <x:c r="L1108" s="19" t="n">
        <x:f>K1108*I1108</x:f>
        <x:v>12</x:v>
      </x:c>
      <x:c r="M1108" s="19" t="n">
        <x:f>(E1108-F1108)*G1108*(1-I1108)</x:f>
        <x:v>48</x:v>
      </x:c>
      <x:c r="N1108" s="19" t="n">
        <x:f>(E1108-F1108)*H1108</x:f>
        <x:v>24</x:v>
      </x:c>
      <x:c r="O1108" s="19" t="n">
        <x:f>F1108*J1108</x:f>
        <x:v>0</x:v>
      </x:c>
      <x:c r="P1108" s="19" t="n">
        <x:f>M1108-N1108-O1108</x:f>
        <x:v>24</x:v>
      </x:c>
    </x:row>
    <x:row r="1109">
      <x:c r="A1109" s="15" t="str">
        <x:v>SIM-1105</x:v>
      </x:c>
      <x:c r="B1109" s="15" t="str">
        <x:v>2026-05</x:v>
      </x:c>
      <x:c r="C1109" s="15" t="str">
        <x:v>Prendas</x:v>
      </x:c>
      <x:c r="D1109" s="15" t="str">
        <x:v>Online</x:v>
      </x:c>
      <x:c r="E1109" s="15" t="n">
        <x:v>1</x:v>
      </x:c>
      <x:c r="F1109" s="15" t="n">
        <x:v>0</x:v>
      </x:c>
      <x:c r="G1109" s="19" t="n">
        <x:v>60</x:v>
      </x:c>
      <x:c r="H1109" s="19" t="n">
        <x:v>24</x:v>
      </x:c>
      <x:c r="I1109" s="17" t="n">
        <x:v>0.3</x:v>
      </x:c>
      <x:c r="J1109" s="19" t="n">
        <x:v>6</x:v>
      </x:c>
      <x:c r="K1109" s="19" t="n">
        <x:f>E1109*G1109</x:f>
        <x:v>60</x:v>
      </x:c>
      <x:c r="L1109" s="19" t="n">
        <x:f>K1109*I1109</x:f>
        <x:v>18</x:v>
      </x:c>
      <x:c r="M1109" s="19" t="n">
        <x:f>(E1109-F1109)*G1109*(1-I1109)</x:f>
        <x:v>42</x:v>
      </x:c>
      <x:c r="N1109" s="19" t="n">
        <x:f>(E1109-F1109)*H1109</x:f>
        <x:v>24</x:v>
      </x:c>
      <x:c r="O1109" s="19" t="n">
        <x:f>F1109*J1109</x:f>
        <x:v>0</x:v>
      </x:c>
      <x:c r="P1109" s="19" t="n">
        <x:f>M1109-N1109-O1109</x:f>
        <x:v>18</x:v>
      </x:c>
    </x:row>
    <x:row r="1110">
      <x:c r="A1110" s="15" t="str">
        <x:v>SIM-1106</x:v>
      </x:c>
      <x:c r="B1110" s="15" t="str">
        <x:v>2026-05</x:v>
      </x:c>
      <x:c r="C1110" s="15" t="str">
        <x:v>Prendas</x:v>
      </x:c>
      <x:c r="D1110" s="15" t="str">
        <x:v>Online</x:v>
      </x:c>
      <x:c r="E1110" s="15" t="n">
        <x:v>2</x:v>
      </x:c>
      <x:c r="F1110" s="15" t="n">
        <x:v>0</x:v>
      </x:c>
      <x:c r="G1110" s="19" t="n">
        <x:v>60</x:v>
      </x:c>
      <x:c r="H1110" s="19" t="n">
        <x:v>24</x:v>
      </x:c>
      <x:c r="I1110" s="17" t="n">
        <x:v>0.3</x:v>
      </x:c>
      <x:c r="J1110" s="19" t="n">
        <x:v>6</x:v>
      </x:c>
      <x:c r="K1110" s="19" t="n">
        <x:f>E1110*G1110</x:f>
        <x:v>120</x:v>
      </x:c>
      <x:c r="L1110" s="19" t="n">
        <x:f>K1110*I1110</x:f>
        <x:v>36</x:v>
      </x:c>
      <x:c r="M1110" s="19" t="n">
        <x:f>(E1110-F1110)*G1110*(1-I1110)</x:f>
        <x:v>84</x:v>
      </x:c>
      <x:c r="N1110" s="19" t="n">
        <x:f>(E1110-F1110)*H1110</x:f>
        <x:v>48</x:v>
      </x:c>
      <x:c r="O1110" s="19" t="n">
        <x:f>F1110*J1110</x:f>
        <x:v>0</x:v>
      </x:c>
      <x:c r="P1110" s="19" t="n">
        <x:f>M1110-N1110-O1110</x:f>
        <x:v>36</x:v>
      </x:c>
    </x:row>
    <x:row r="1111">
      <x:c r="A1111" s="15" t="str">
        <x:v>SIM-1107</x:v>
      </x:c>
      <x:c r="B1111" s="15" t="str">
        <x:v>2026-05</x:v>
      </x:c>
      <x:c r="C1111" s="15" t="str">
        <x:v>Calzado</x:v>
      </x:c>
      <x:c r="D1111" s="15" t="str">
        <x:v>Online</x:v>
      </x:c>
      <x:c r="E1111" s="15" t="n">
        <x:v>3</x:v>
      </x:c>
      <x:c r="F1111" s="15" t="n">
        <x:v>2</x:v>
      </x:c>
      <x:c r="G1111" s="19" t="n">
        <x:v>90</x:v>
      </x:c>
      <x:c r="H1111" s="19" t="n">
        <x:v>42</x:v>
      </x:c>
      <x:c r="I1111" s="17" t="n">
        <x:v>0.3</x:v>
      </x:c>
      <x:c r="J1111" s="19" t="n">
        <x:v>6</x:v>
      </x:c>
      <x:c r="K1111" s="19" t="n">
        <x:f>E1111*G1111</x:f>
        <x:v>270</x:v>
      </x:c>
      <x:c r="L1111" s="19" t="n">
        <x:f>K1111*I1111</x:f>
        <x:v>81</x:v>
      </x:c>
      <x:c r="M1111" s="19" t="n">
        <x:f>(E1111-F1111)*G1111*(1-I1111)</x:f>
        <x:v>62.99999999999999</x:v>
      </x:c>
      <x:c r="N1111" s="19" t="n">
        <x:f>(E1111-F1111)*H1111</x:f>
        <x:v>42</x:v>
      </x:c>
      <x:c r="O1111" s="19" t="n">
        <x:f>F1111*J1111</x:f>
        <x:v>12</x:v>
      </x:c>
      <x:c r="P1111" s="19" t="n">
        <x:f>M1111-N1111-O1111</x:f>
        <x:v>8.999999999999993</x:v>
      </x:c>
    </x:row>
    <x:row r="1112">
      <x:c r="A1112" s="15" t="str">
        <x:v>SIM-1108</x:v>
      </x:c>
      <x:c r="B1112" s="15" t="str">
        <x:v>2026-05</x:v>
      </x:c>
      <x:c r="C1112" s="15" t="str">
        <x:v>Prendas</x:v>
      </x:c>
      <x:c r="D1112" s="15" t="str">
        <x:v>Tienda</x:v>
      </x:c>
      <x:c r="E1112" s="15" t="n">
        <x:v>3</x:v>
      </x:c>
      <x:c r="F1112" s="15" t="n">
        <x:v>0</x:v>
      </x:c>
      <x:c r="G1112" s="19" t="n">
        <x:v>60</x:v>
      </x:c>
      <x:c r="H1112" s="19" t="n">
        <x:v>24</x:v>
      </x:c>
      <x:c r="I1112" s="17" t="n">
        <x:v>0.1</x:v>
      </x:c>
      <x:c r="J1112" s="19" t="n">
        <x:v>2</x:v>
      </x:c>
      <x:c r="K1112" s="19" t="n">
        <x:f>E1112*G1112</x:f>
        <x:v>180</x:v>
      </x:c>
      <x:c r="L1112" s="19" t="n">
        <x:f>K1112*I1112</x:f>
        <x:v>18</x:v>
      </x:c>
      <x:c r="M1112" s="19" t="n">
        <x:f>(E1112-F1112)*G1112*(1-I1112)</x:f>
        <x:v>162</x:v>
      </x:c>
      <x:c r="N1112" s="19" t="n">
        <x:f>(E1112-F1112)*H1112</x:f>
        <x:v>72</x:v>
      </x:c>
      <x:c r="O1112" s="19" t="n">
        <x:f>F1112*J1112</x:f>
        <x:v>0</x:v>
      </x:c>
      <x:c r="P1112" s="19" t="n">
        <x:f>M1112-N1112-O1112</x:f>
        <x:v>90</x:v>
      </x:c>
    </x:row>
    <x:row r="1113">
      <x:c r="A1113" s="15" t="str">
        <x:v>SIM-1109</x:v>
      </x:c>
      <x:c r="B1113" s="15" t="str">
        <x:v>2026-05</x:v>
      </x:c>
      <x:c r="C1113" s="15" t="str">
        <x:v>Calzado</x:v>
      </x:c>
      <x:c r="D1113" s="15" t="str">
        <x:v>Online</x:v>
      </x:c>
      <x:c r="E1113" s="15" t="n">
        <x:v>1</x:v>
      </x:c>
      <x:c r="F1113" s="15" t="n">
        <x:v>1</x:v>
      </x:c>
      <x:c r="G1113" s="19" t="n">
        <x:v>90</x:v>
      </x:c>
      <x:c r="H1113" s="19" t="n">
        <x:v>42</x:v>
      </x:c>
      <x:c r="I1113" s="17" t="n">
        <x:v>0.2</x:v>
      </x:c>
      <x:c r="J1113" s="19" t="n">
        <x:v>6</x:v>
      </x:c>
      <x:c r="K1113" s="19" t="n">
        <x:f>E1113*G1113</x:f>
        <x:v>90</x:v>
      </x:c>
      <x:c r="L1113" s="19" t="n">
        <x:f>K1113*I1113</x:f>
        <x:v>18</x:v>
      </x:c>
      <x:c r="M1113" s="19" t="n">
        <x:f>(E1113-F1113)*G1113*(1-I1113)</x:f>
        <x:v>0</x:v>
      </x:c>
      <x:c r="N1113" s="19" t="n">
        <x:f>(E1113-F1113)*H1113</x:f>
        <x:v>0</x:v>
      </x:c>
      <x:c r="O1113" s="19" t="n">
        <x:f>F1113*J1113</x:f>
        <x:v>6</x:v>
      </x:c>
      <x:c r="P1113" s="19" t="n">
        <x:f>M1113-N1113-O1113</x:f>
        <x:v>-6</x:v>
      </x:c>
    </x:row>
    <x:row r="1114">
      <x:c r="A1114" s="15" t="str">
        <x:v>SIM-1110</x:v>
      </x:c>
      <x:c r="B1114" s="15" t="str">
        <x:v>2026-05</x:v>
      </x:c>
      <x:c r="C1114" s="15" t="str">
        <x:v>Calzado</x:v>
      </x:c>
      <x:c r="D1114" s="15" t="str">
        <x:v>Tienda</x:v>
      </x:c>
      <x:c r="E1114" s="15" t="n">
        <x:v>1</x:v>
      </x:c>
      <x:c r="F1114" s="15" t="n">
        <x:v>0</x:v>
      </x:c>
      <x:c r="G1114" s="19" t="n">
        <x:v>90</x:v>
      </x:c>
      <x:c r="H1114" s="19" t="n">
        <x:v>42</x:v>
      </x:c>
      <x:c r="I1114" s="17" t="n">
        <x:v>0.2</x:v>
      </x:c>
      <x:c r="J1114" s="19" t="n">
        <x:v>2</x:v>
      </x:c>
      <x:c r="K1114" s="19" t="n">
        <x:f>E1114*G1114</x:f>
        <x:v>90</x:v>
      </x:c>
      <x:c r="L1114" s="19" t="n">
        <x:f>K1114*I1114</x:f>
        <x:v>18</x:v>
      </x:c>
      <x:c r="M1114" s="19" t="n">
        <x:f>(E1114-F1114)*G1114*(1-I1114)</x:f>
        <x:v>72</x:v>
      </x:c>
      <x:c r="N1114" s="19" t="n">
        <x:f>(E1114-F1114)*H1114</x:f>
        <x:v>42</x:v>
      </x:c>
      <x:c r="O1114" s="19" t="n">
        <x:f>F1114*J1114</x:f>
        <x:v>0</x:v>
      </x:c>
      <x:c r="P1114" s="19" t="n">
        <x:f>M1114-N1114-O1114</x:f>
        <x:v>30</x:v>
      </x:c>
    </x:row>
    <x:row r="1115">
      <x:c r="A1115" s="15" t="str">
        <x:v>SIM-1111</x:v>
      </x:c>
      <x:c r="B1115" s="15" t="str">
        <x:v>2026-05</x:v>
      </x:c>
      <x:c r="C1115" s="15" t="str">
        <x:v>Accesorios</x:v>
      </x:c>
      <x:c r="D1115" s="15" t="str">
        <x:v>Online</x:v>
      </x:c>
      <x:c r="E1115" s="15" t="n">
        <x:v>1</x:v>
      </x:c>
      <x:c r="F1115" s="15" t="n">
        <x:v>0</x:v>
      </x:c>
      <x:c r="G1115" s="19" t="n">
        <x:v>30</x:v>
      </x:c>
      <x:c r="H1115" s="19" t="n">
        <x:v>9</x:v>
      </x:c>
      <x:c r="I1115" s="17" t="n">
        <x:v>0.1</x:v>
      </x:c>
      <x:c r="J1115" s="19" t="n">
        <x:v>6</x:v>
      </x:c>
      <x:c r="K1115" s="19" t="n">
        <x:f>E1115*G1115</x:f>
        <x:v>30</x:v>
      </x:c>
      <x:c r="L1115" s="19" t="n">
        <x:f>K1115*I1115</x:f>
        <x:v>3</x:v>
      </x:c>
      <x:c r="M1115" s="19" t="n">
        <x:f>(E1115-F1115)*G1115*(1-I1115)</x:f>
        <x:v>27</x:v>
      </x:c>
      <x:c r="N1115" s="19" t="n">
        <x:f>(E1115-F1115)*H1115</x:f>
        <x:v>9</x:v>
      </x:c>
      <x:c r="O1115" s="19" t="n">
        <x:f>F1115*J1115</x:f>
        <x:v>0</x:v>
      </x:c>
      <x:c r="P1115" s="19" t="n">
        <x:f>M1115-N1115-O1115</x:f>
        <x:v>18</x:v>
      </x:c>
    </x:row>
    <x:row r="1116">
      <x:c r="A1116" s="15" t="str">
        <x:v>SIM-1112</x:v>
      </x:c>
      <x:c r="B1116" s="15" t="str">
        <x:v>2026-05</x:v>
      </x:c>
      <x:c r="C1116" s="15" t="str">
        <x:v>Calzado</x:v>
      </x:c>
      <x:c r="D1116" s="15" t="str">
        <x:v>Online</x:v>
      </x:c>
      <x:c r="E1116" s="15" t="n">
        <x:v>1</x:v>
      </x:c>
      <x:c r="F1116" s="15" t="n">
        <x:v>0</x:v>
      </x:c>
      <x:c r="G1116" s="19" t="n">
        <x:v>90</x:v>
      </x:c>
      <x:c r="H1116" s="19" t="n">
        <x:v>42</x:v>
      </x:c>
      <x:c r="I1116" s="17" t="n">
        <x:v>0.3</x:v>
      </x:c>
      <x:c r="J1116" s="19" t="n">
        <x:v>6</x:v>
      </x:c>
      <x:c r="K1116" s="19" t="n">
        <x:f>E1116*G1116</x:f>
        <x:v>90</x:v>
      </x:c>
      <x:c r="L1116" s="19" t="n">
        <x:f>K1116*I1116</x:f>
        <x:v>27</x:v>
      </x:c>
      <x:c r="M1116" s="19" t="n">
        <x:f>(E1116-F1116)*G1116*(1-I1116)</x:f>
        <x:v>62.99999999999999</x:v>
      </x:c>
      <x:c r="N1116" s="19" t="n">
        <x:f>(E1116-F1116)*H1116</x:f>
        <x:v>42</x:v>
      </x:c>
      <x:c r="O1116" s="19" t="n">
        <x:f>F1116*J1116</x:f>
        <x:v>0</x:v>
      </x:c>
      <x:c r="P1116" s="19" t="n">
        <x:f>M1116-N1116-O1116</x:f>
        <x:v>20.999999999999993</x:v>
      </x:c>
    </x:row>
    <x:row r="1117">
      <x:c r="A1117" s="15" t="str">
        <x:v>SIM-1113</x:v>
      </x:c>
      <x:c r="B1117" s="15" t="str">
        <x:v>2026-05</x:v>
      </x:c>
      <x:c r="C1117" s="15" t="str">
        <x:v>Accesorios</x:v>
      </x:c>
      <x:c r="D1117" s="15" t="str">
        <x:v>Tienda</x:v>
      </x:c>
      <x:c r="E1117" s="15" t="n">
        <x:v>1</x:v>
      </x:c>
      <x:c r="F1117" s="15" t="n">
        <x:v>0</x:v>
      </x:c>
      <x:c r="G1117" s="19" t="n">
        <x:v>30</x:v>
      </x:c>
      <x:c r="H1117" s="19" t="n">
        <x:v>9</x:v>
      </x:c>
      <x:c r="I1117" s="17" t="n">
        <x:v>0</x:v>
      </x:c>
      <x:c r="J1117" s="19" t="n">
        <x:v>2</x:v>
      </x:c>
      <x:c r="K1117" s="19" t="n">
        <x:f>E1117*G1117</x:f>
        <x:v>30</x:v>
      </x:c>
      <x:c r="L1117" s="19" t="n">
        <x:f>K1117*I1117</x:f>
        <x:v>0</x:v>
      </x:c>
      <x:c r="M1117" s="19" t="n">
        <x:f>(E1117-F1117)*G1117*(1-I1117)</x:f>
        <x:v>30</x:v>
      </x:c>
      <x:c r="N1117" s="19" t="n">
        <x:f>(E1117-F1117)*H1117</x:f>
        <x:v>9</x:v>
      </x:c>
      <x:c r="O1117" s="19" t="n">
        <x:f>F1117*J1117</x:f>
        <x:v>0</x:v>
      </x:c>
      <x:c r="P1117" s="19" t="n">
        <x:f>M1117-N1117-O1117</x:f>
        <x:v>21</x:v>
      </x:c>
    </x:row>
    <x:row r="1118">
      <x:c r="A1118" s="15" t="str">
        <x:v>SIM-1114</x:v>
      </x:c>
      <x:c r="B1118" s="15" t="str">
        <x:v>2026-05</x:v>
      </x:c>
      <x:c r="C1118" s="15" t="str">
        <x:v>Prendas</x:v>
      </x:c>
      <x:c r="D1118" s="15" t="str">
        <x:v>Online</x:v>
      </x:c>
      <x:c r="E1118" s="15" t="n">
        <x:v>1</x:v>
      </x:c>
      <x:c r="F1118" s="15" t="n">
        <x:v>0</x:v>
      </x:c>
      <x:c r="G1118" s="19" t="n">
        <x:v>60</x:v>
      </x:c>
      <x:c r="H1118" s="19" t="n">
        <x:v>24</x:v>
      </x:c>
      <x:c r="I1118" s="17" t="n">
        <x:v>0</x:v>
      </x:c>
      <x:c r="J1118" s="19" t="n">
        <x:v>6</x:v>
      </x:c>
      <x:c r="K1118" s="19" t="n">
        <x:f>E1118*G1118</x:f>
        <x:v>60</x:v>
      </x:c>
      <x:c r="L1118" s="19" t="n">
        <x:f>K1118*I1118</x:f>
        <x:v>0</x:v>
      </x:c>
      <x:c r="M1118" s="19" t="n">
        <x:f>(E1118-F1118)*G1118*(1-I1118)</x:f>
        <x:v>60</x:v>
      </x:c>
      <x:c r="N1118" s="19" t="n">
        <x:f>(E1118-F1118)*H1118</x:f>
        <x:v>24</x:v>
      </x:c>
      <x:c r="O1118" s="19" t="n">
        <x:f>F1118*J1118</x:f>
        <x:v>0</x:v>
      </x:c>
      <x:c r="P1118" s="19" t="n">
        <x:f>M1118-N1118-O1118</x:f>
        <x:v>36</x:v>
      </x:c>
    </x:row>
    <x:row r="1119">
      <x:c r="A1119" s="15" t="str">
        <x:v>SIM-1115</x:v>
      </x:c>
      <x:c r="B1119" s="15" t="str">
        <x:v>2026-05</x:v>
      </x:c>
      <x:c r="C1119" s="15" t="str">
        <x:v>Prendas</x:v>
      </x:c>
      <x:c r="D1119" s="15" t="str">
        <x:v>Tienda</x:v>
      </x:c>
      <x:c r="E1119" s="15" t="n">
        <x:v>1</x:v>
      </x:c>
      <x:c r="F1119" s="15" t="n">
        <x:v>0</x:v>
      </x:c>
      <x:c r="G1119" s="19" t="n">
        <x:v>60</x:v>
      </x:c>
      <x:c r="H1119" s="19" t="n">
        <x:v>24</x:v>
      </x:c>
      <x:c r="I1119" s="17" t="n">
        <x:v>0.1</x:v>
      </x:c>
      <x:c r="J1119" s="19" t="n">
        <x:v>2</x:v>
      </x:c>
      <x:c r="K1119" s="19" t="n">
        <x:f>E1119*G1119</x:f>
        <x:v>60</x:v>
      </x:c>
      <x:c r="L1119" s="19" t="n">
        <x:f>K1119*I1119</x:f>
        <x:v>6</x:v>
      </x:c>
      <x:c r="M1119" s="19" t="n">
        <x:f>(E1119-F1119)*G1119*(1-I1119)</x:f>
        <x:v>54</x:v>
      </x:c>
      <x:c r="N1119" s="19" t="n">
        <x:f>(E1119-F1119)*H1119</x:f>
        <x:v>24</x:v>
      </x:c>
      <x:c r="O1119" s="19" t="n">
        <x:f>F1119*J1119</x:f>
        <x:v>0</x:v>
      </x:c>
      <x:c r="P1119" s="19" t="n">
        <x:f>M1119-N1119-O1119</x:f>
        <x:v>30</x:v>
      </x:c>
    </x:row>
    <x:row r="1120">
      <x:c r="A1120" s="15" t="str">
        <x:v>SIM-1116</x:v>
      </x:c>
      <x:c r="B1120" s="15" t="str">
        <x:v>2026-05</x:v>
      </x:c>
      <x:c r="C1120" s="15" t="str">
        <x:v>Calzado</x:v>
      </x:c>
      <x:c r="D1120" s="15" t="str">
        <x:v>Tienda</x:v>
      </x:c>
      <x:c r="E1120" s="15" t="n">
        <x:v>2</x:v>
      </x:c>
      <x:c r="F1120" s="15" t="n">
        <x:v>1</x:v>
      </x:c>
      <x:c r="G1120" s="19" t="n">
        <x:v>90</x:v>
      </x:c>
      <x:c r="H1120" s="19" t="n">
        <x:v>42</x:v>
      </x:c>
      <x:c r="I1120" s="17" t="n">
        <x:v>0.1</x:v>
      </x:c>
      <x:c r="J1120" s="19" t="n">
        <x:v>2</x:v>
      </x:c>
      <x:c r="K1120" s="19" t="n">
        <x:f>E1120*G1120</x:f>
        <x:v>180</x:v>
      </x:c>
      <x:c r="L1120" s="19" t="n">
        <x:f>K1120*I1120</x:f>
        <x:v>18</x:v>
      </x:c>
      <x:c r="M1120" s="19" t="n">
        <x:f>(E1120-F1120)*G1120*(1-I1120)</x:f>
        <x:v>81</x:v>
      </x:c>
      <x:c r="N1120" s="19" t="n">
        <x:f>(E1120-F1120)*H1120</x:f>
        <x:v>42</x:v>
      </x:c>
      <x:c r="O1120" s="19" t="n">
        <x:f>F1120*J1120</x:f>
        <x:v>2</x:v>
      </x:c>
      <x:c r="P1120" s="19" t="n">
        <x:f>M1120-N1120-O1120</x:f>
        <x:v>37</x:v>
      </x:c>
    </x:row>
    <x:row r="1121">
      <x:c r="A1121" s="15" t="str">
        <x:v>SIM-1117</x:v>
      </x:c>
      <x:c r="B1121" s="15" t="str">
        <x:v>2026-05</x:v>
      </x:c>
      <x:c r="C1121" s="15" t="str">
        <x:v>Prendas</x:v>
      </x:c>
      <x:c r="D1121" s="15" t="str">
        <x:v>Tienda</x:v>
      </x:c>
      <x:c r="E1121" s="15" t="n">
        <x:v>1</x:v>
      </x:c>
      <x:c r="F1121" s="15" t="n">
        <x:v>0</x:v>
      </x:c>
      <x:c r="G1121" s="19" t="n">
        <x:v>60</x:v>
      </x:c>
      <x:c r="H1121" s="19" t="n">
        <x:v>24</x:v>
      </x:c>
      <x:c r="I1121" s="17" t="n">
        <x:v>0.2</x:v>
      </x:c>
      <x:c r="J1121" s="19" t="n">
        <x:v>2</x:v>
      </x:c>
      <x:c r="K1121" s="19" t="n">
        <x:f>E1121*G1121</x:f>
        <x:v>60</x:v>
      </x:c>
      <x:c r="L1121" s="19" t="n">
        <x:f>K1121*I1121</x:f>
        <x:v>12</x:v>
      </x:c>
      <x:c r="M1121" s="19" t="n">
        <x:f>(E1121-F1121)*G1121*(1-I1121)</x:f>
        <x:v>48</x:v>
      </x:c>
      <x:c r="N1121" s="19" t="n">
        <x:f>(E1121-F1121)*H1121</x:f>
        <x:v>24</x:v>
      </x:c>
      <x:c r="O1121" s="19" t="n">
        <x:f>F1121*J1121</x:f>
        <x:v>0</x:v>
      </x:c>
      <x:c r="P1121" s="19" t="n">
        <x:f>M1121-N1121-O1121</x:f>
        <x:v>24</x:v>
      </x:c>
    </x:row>
    <x:row r="1122">
      <x:c r="A1122" s="15" t="str">
        <x:v>SIM-1118</x:v>
      </x:c>
      <x:c r="B1122" s="15" t="str">
        <x:v>2026-05</x:v>
      </x:c>
      <x:c r="C1122" s="15" t="str">
        <x:v>Calzado</x:v>
      </x:c>
      <x:c r="D1122" s="15" t="str">
        <x:v>Tienda</x:v>
      </x:c>
      <x:c r="E1122" s="15" t="n">
        <x:v>1</x:v>
      </x:c>
      <x:c r="F1122" s="15" t="n">
        <x:v>0</x:v>
      </x:c>
      <x:c r="G1122" s="19" t="n">
        <x:v>90</x:v>
      </x:c>
      <x:c r="H1122" s="19" t="n">
        <x:v>42</x:v>
      </x:c>
      <x:c r="I1122" s="17" t="n">
        <x:v>0</x:v>
      </x:c>
      <x:c r="J1122" s="19" t="n">
        <x:v>2</x:v>
      </x:c>
      <x:c r="K1122" s="19" t="n">
        <x:f>E1122*G1122</x:f>
        <x:v>90</x:v>
      </x:c>
      <x:c r="L1122" s="19" t="n">
        <x:f>K1122*I1122</x:f>
        <x:v>0</x:v>
      </x:c>
      <x:c r="M1122" s="19" t="n">
        <x:f>(E1122-F1122)*G1122*(1-I1122)</x:f>
        <x:v>90</x:v>
      </x:c>
      <x:c r="N1122" s="19" t="n">
        <x:f>(E1122-F1122)*H1122</x:f>
        <x:v>42</x:v>
      </x:c>
      <x:c r="O1122" s="19" t="n">
        <x:f>F1122*J1122</x:f>
        <x:v>0</x:v>
      </x:c>
      <x:c r="P1122" s="19" t="n">
        <x:f>M1122-N1122-O1122</x:f>
        <x:v>48</x:v>
      </x:c>
    </x:row>
    <x:row r="1123">
      <x:c r="A1123" s="15" t="str">
        <x:v>SIM-1119</x:v>
      </x:c>
      <x:c r="B1123" s="15" t="str">
        <x:v>2026-05</x:v>
      </x:c>
      <x:c r="C1123" s="15" t="str">
        <x:v>Calzado</x:v>
      </x:c>
      <x:c r="D1123" s="15" t="str">
        <x:v>Tienda</x:v>
      </x:c>
      <x:c r="E1123" s="15" t="n">
        <x:v>1</x:v>
      </x:c>
      <x:c r="F1123" s="15" t="n">
        <x:v>0</x:v>
      </x:c>
      <x:c r="G1123" s="19" t="n">
        <x:v>90</x:v>
      </x:c>
      <x:c r="H1123" s="19" t="n">
        <x:v>42</x:v>
      </x:c>
      <x:c r="I1123" s="17" t="n">
        <x:v>0.1</x:v>
      </x:c>
      <x:c r="J1123" s="19" t="n">
        <x:v>2</x:v>
      </x:c>
      <x:c r="K1123" s="19" t="n">
        <x:f>E1123*G1123</x:f>
        <x:v>90</x:v>
      </x:c>
      <x:c r="L1123" s="19" t="n">
        <x:f>K1123*I1123</x:f>
        <x:v>9</x:v>
      </x:c>
      <x:c r="M1123" s="19" t="n">
        <x:f>(E1123-F1123)*G1123*(1-I1123)</x:f>
        <x:v>81</x:v>
      </x:c>
      <x:c r="N1123" s="19" t="n">
        <x:f>(E1123-F1123)*H1123</x:f>
        <x:v>42</x:v>
      </x:c>
      <x:c r="O1123" s="19" t="n">
        <x:f>F1123*J1123</x:f>
        <x:v>0</x:v>
      </x:c>
      <x:c r="P1123" s="19" t="n">
        <x:f>M1123-N1123-O1123</x:f>
        <x:v>39</x:v>
      </x:c>
    </x:row>
    <x:row r="1124">
      <x:c r="A1124" s="15" t="str">
        <x:v>SIM-1120</x:v>
      </x:c>
      <x:c r="B1124" s="15" t="str">
        <x:v>2026-05</x:v>
      </x:c>
      <x:c r="C1124" s="15" t="str">
        <x:v>Accesorios</x:v>
      </x:c>
      <x:c r="D1124" s="15" t="str">
        <x:v>Tienda</x:v>
      </x:c>
      <x:c r="E1124" s="15" t="n">
        <x:v>1</x:v>
      </x:c>
      <x:c r="F1124" s="15" t="n">
        <x:v>0</x:v>
      </x:c>
      <x:c r="G1124" s="19" t="n">
        <x:v>30</x:v>
      </x:c>
      <x:c r="H1124" s="19" t="n">
        <x:v>9</x:v>
      </x:c>
      <x:c r="I1124" s="17" t="n">
        <x:v>0.3</x:v>
      </x:c>
      <x:c r="J1124" s="19" t="n">
        <x:v>2</x:v>
      </x:c>
      <x:c r="K1124" s="19" t="n">
        <x:f>E1124*G1124</x:f>
        <x:v>30</x:v>
      </x:c>
      <x:c r="L1124" s="19" t="n">
        <x:f>K1124*I1124</x:f>
        <x:v>9</x:v>
      </x:c>
      <x:c r="M1124" s="19" t="n">
        <x:f>(E1124-F1124)*G1124*(1-I1124)</x:f>
        <x:v>21</x:v>
      </x:c>
      <x:c r="N1124" s="19" t="n">
        <x:f>(E1124-F1124)*H1124</x:f>
        <x:v>9</x:v>
      </x:c>
      <x:c r="O1124" s="19" t="n">
        <x:f>F1124*J1124</x:f>
        <x:v>0</x:v>
      </x:c>
      <x:c r="P1124" s="19" t="n">
        <x:f>M1124-N1124-O1124</x:f>
        <x:v>12</x:v>
      </x:c>
    </x:row>
    <x:row r="1125">
      <x:c r="A1125" s="15" t="str">
        <x:v>SIM-1121</x:v>
      </x:c>
      <x:c r="B1125" s="15" t="str">
        <x:v>2026-05</x:v>
      </x:c>
      <x:c r="C1125" s="15" t="str">
        <x:v>Calzado</x:v>
      </x:c>
      <x:c r="D1125" s="15" t="str">
        <x:v>Online</x:v>
      </x:c>
      <x:c r="E1125" s="15" t="n">
        <x:v>1</x:v>
      </x:c>
      <x:c r="F1125" s="15" t="n">
        <x:v>1</x:v>
      </x:c>
      <x:c r="G1125" s="19" t="n">
        <x:v>90</x:v>
      </x:c>
      <x:c r="H1125" s="19" t="n">
        <x:v>42</x:v>
      </x:c>
      <x:c r="I1125" s="17" t="n">
        <x:v>0.2</x:v>
      </x:c>
      <x:c r="J1125" s="19" t="n">
        <x:v>6</x:v>
      </x:c>
      <x:c r="K1125" s="19" t="n">
        <x:f>E1125*G1125</x:f>
        <x:v>90</x:v>
      </x:c>
      <x:c r="L1125" s="19" t="n">
        <x:f>K1125*I1125</x:f>
        <x:v>18</x:v>
      </x:c>
      <x:c r="M1125" s="19" t="n">
        <x:f>(E1125-F1125)*G1125*(1-I1125)</x:f>
        <x:v>0</x:v>
      </x:c>
      <x:c r="N1125" s="19" t="n">
        <x:f>(E1125-F1125)*H1125</x:f>
        <x:v>0</x:v>
      </x:c>
      <x:c r="O1125" s="19" t="n">
        <x:f>F1125*J1125</x:f>
        <x:v>6</x:v>
      </x:c>
      <x:c r="P1125" s="19" t="n">
        <x:f>M1125-N1125-O1125</x:f>
        <x:v>-6</x:v>
      </x:c>
    </x:row>
    <x:row r="1126">
      <x:c r="A1126" s="15" t="str">
        <x:v>SIM-1122</x:v>
      </x:c>
      <x:c r="B1126" s="15" t="str">
        <x:v>2026-05</x:v>
      </x:c>
      <x:c r="C1126" s="15" t="str">
        <x:v>Prendas</x:v>
      </x:c>
      <x:c r="D1126" s="15" t="str">
        <x:v>Online</x:v>
      </x:c>
      <x:c r="E1126" s="15" t="n">
        <x:v>1</x:v>
      </x:c>
      <x:c r="F1126" s="15" t="n">
        <x:v>0</x:v>
      </x:c>
      <x:c r="G1126" s="19" t="n">
        <x:v>60</x:v>
      </x:c>
      <x:c r="H1126" s="19" t="n">
        <x:v>24</x:v>
      </x:c>
      <x:c r="I1126" s="17" t="n">
        <x:v>0</x:v>
      </x:c>
      <x:c r="J1126" s="19" t="n">
        <x:v>6</x:v>
      </x:c>
      <x:c r="K1126" s="19" t="n">
        <x:f>E1126*G1126</x:f>
        <x:v>60</x:v>
      </x:c>
      <x:c r="L1126" s="19" t="n">
        <x:f>K1126*I1126</x:f>
        <x:v>0</x:v>
      </x:c>
      <x:c r="M1126" s="19" t="n">
        <x:f>(E1126-F1126)*G1126*(1-I1126)</x:f>
        <x:v>60</x:v>
      </x:c>
      <x:c r="N1126" s="19" t="n">
        <x:f>(E1126-F1126)*H1126</x:f>
        <x:v>24</x:v>
      </x:c>
      <x:c r="O1126" s="19" t="n">
        <x:f>F1126*J1126</x:f>
        <x:v>0</x:v>
      </x:c>
      <x:c r="P1126" s="19" t="n">
        <x:f>M1126-N1126-O1126</x:f>
        <x:v>36</x:v>
      </x:c>
    </x:row>
    <x:row r="1127">
      <x:c r="A1127" s="15" t="str">
        <x:v>SIM-1123</x:v>
      </x:c>
      <x:c r="B1127" s="15" t="str">
        <x:v>2026-05</x:v>
      </x:c>
      <x:c r="C1127" s="15" t="str">
        <x:v>Prendas</x:v>
      </x:c>
      <x:c r="D1127" s="15" t="str">
        <x:v>Online</x:v>
      </x:c>
      <x:c r="E1127" s="15" t="n">
        <x:v>2</x:v>
      </x:c>
      <x:c r="F1127" s="15" t="n">
        <x:v>1</x:v>
      </x:c>
      <x:c r="G1127" s="19" t="n">
        <x:v>60</x:v>
      </x:c>
      <x:c r="H1127" s="19" t="n">
        <x:v>24</x:v>
      </x:c>
      <x:c r="I1127" s="17" t="n">
        <x:v>0.2</x:v>
      </x:c>
      <x:c r="J1127" s="19" t="n">
        <x:v>6</x:v>
      </x:c>
      <x:c r="K1127" s="19" t="n">
        <x:f>E1127*G1127</x:f>
        <x:v>120</x:v>
      </x:c>
      <x:c r="L1127" s="19" t="n">
        <x:f>K1127*I1127</x:f>
        <x:v>24</x:v>
      </x:c>
      <x:c r="M1127" s="19" t="n">
        <x:f>(E1127-F1127)*G1127*(1-I1127)</x:f>
        <x:v>48</x:v>
      </x:c>
      <x:c r="N1127" s="19" t="n">
        <x:f>(E1127-F1127)*H1127</x:f>
        <x:v>24</x:v>
      </x:c>
      <x:c r="O1127" s="19" t="n">
        <x:f>F1127*J1127</x:f>
        <x:v>6</x:v>
      </x:c>
      <x:c r="P1127" s="19" t="n">
        <x:f>M1127-N1127-O1127</x:f>
        <x:v>18</x:v>
      </x:c>
    </x:row>
    <x:row r="1128">
      <x:c r="A1128" s="15" t="str">
        <x:v>SIM-1124</x:v>
      </x:c>
      <x:c r="B1128" s="15" t="str">
        <x:v>2026-05</x:v>
      </x:c>
      <x:c r="C1128" s="15" t="str">
        <x:v>Prendas</x:v>
      </x:c>
      <x:c r="D1128" s="15" t="str">
        <x:v>Tienda</x:v>
      </x:c>
      <x:c r="E1128" s="15" t="n">
        <x:v>1</x:v>
      </x:c>
      <x:c r="F1128" s="15" t="n">
        <x:v>0</x:v>
      </x:c>
      <x:c r="G1128" s="19" t="n">
        <x:v>60</x:v>
      </x:c>
      <x:c r="H1128" s="19" t="n">
        <x:v>24</x:v>
      </x:c>
      <x:c r="I1128" s="17" t="n">
        <x:v>0.3</x:v>
      </x:c>
      <x:c r="J1128" s="19" t="n">
        <x:v>2</x:v>
      </x:c>
      <x:c r="K1128" s="19" t="n">
        <x:f>E1128*G1128</x:f>
        <x:v>60</x:v>
      </x:c>
      <x:c r="L1128" s="19" t="n">
        <x:f>K1128*I1128</x:f>
        <x:v>18</x:v>
      </x:c>
      <x:c r="M1128" s="19" t="n">
        <x:f>(E1128-F1128)*G1128*(1-I1128)</x:f>
        <x:v>42</x:v>
      </x:c>
      <x:c r="N1128" s="19" t="n">
        <x:f>(E1128-F1128)*H1128</x:f>
        <x:v>24</x:v>
      </x:c>
      <x:c r="O1128" s="19" t="n">
        <x:f>F1128*J1128</x:f>
        <x:v>0</x:v>
      </x:c>
      <x:c r="P1128" s="19" t="n">
        <x:f>M1128-N1128-O1128</x:f>
        <x:v>18</x:v>
      </x:c>
    </x:row>
    <x:row r="1129">
      <x:c r="A1129" s="15" t="str">
        <x:v>SIM-1125</x:v>
      </x:c>
      <x:c r="B1129" s="15" t="str">
        <x:v>2026-05</x:v>
      </x:c>
      <x:c r="C1129" s="15" t="str">
        <x:v>Accesorios</x:v>
      </x:c>
      <x:c r="D1129" s="15" t="str">
        <x:v>Online</x:v>
      </x:c>
      <x:c r="E1129" s="15" t="n">
        <x:v>1</x:v>
      </x:c>
      <x:c r="F1129" s="15" t="n">
        <x:v>0</x:v>
      </x:c>
      <x:c r="G1129" s="19" t="n">
        <x:v>30</x:v>
      </x:c>
      <x:c r="H1129" s="19" t="n">
        <x:v>9</x:v>
      </x:c>
      <x:c r="I1129" s="17" t="n">
        <x:v>0.2</x:v>
      </x:c>
      <x:c r="J1129" s="19" t="n">
        <x:v>6</x:v>
      </x:c>
      <x:c r="K1129" s="19" t="n">
        <x:f>E1129*G1129</x:f>
        <x:v>30</x:v>
      </x:c>
      <x:c r="L1129" s="19" t="n">
        <x:f>K1129*I1129</x:f>
        <x:v>6</x:v>
      </x:c>
      <x:c r="M1129" s="19" t="n">
        <x:f>(E1129-F1129)*G1129*(1-I1129)</x:f>
        <x:v>24</x:v>
      </x:c>
      <x:c r="N1129" s="19" t="n">
        <x:f>(E1129-F1129)*H1129</x:f>
        <x:v>9</x:v>
      </x:c>
      <x:c r="O1129" s="19" t="n">
        <x:f>F1129*J1129</x:f>
        <x:v>0</x:v>
      </x:c>
      <x:c r="P1129" s="19" t="n">
        <x:f>M1129-N1129-O1129</x:f>
        <x:v>15</x:v>
      </x:c>
    </x:row>
    <x:row r="1130">
      <x:c r="A1130" s="15" t="str">
        <x:v>SIM-1126</x:v>
      </x:c>
      <x:c r="B1130" s="15" t="str">
        <x:v>2026-05</x:v>
      </x:c>
      <x:c r="C1130" s="15" t="str">
        <x:v>Prendas</x:v>
      </x:c>
      <x:c r="D1130" s="15" t="str">
        <x:v>Tienda</x:v>
      </x:c>
      <x:c r="E1130" s="15" t="n">
        <x:v>2</x:v>
      </x:c>
      <x:c r="F1130" s="15" t="n">
        <x:v>0</x:v>
      </x:c>
      <x:c r="G1130" s="19" t="n">
        <x:v>60</x:v>
      </x:c>
      <x:c r="H1130" s="19" t="n">
        <x:v>24</x:v>
      </x:c>
      <x:c r="I1130" s="17" t="n">
        <x:v>0.1</x:v>
      </x:c>
      <x:c r="J1130" s="19" t="n">
        <x:v>2</x:v>
      </x:c>
      <x:c r="K1130" s="19" t="n">
        <x:f>E1130*G1130</x:f>
        <x:v>120</x:v>
      </x:c>
      <x:c r="L1130" s="19" t="n">
        <x:f>K1130*I1130</x:f>
        <x:v>12</x:v>
      </x:c>
      <x:c r="M1130" s="19" t="n">
        <x:f>(E1130-F1130)*G1130*(1-I1130)</x:f>
        <x:v>108</x:v>
      </x:c>
      <x:c r="N1130" s="19" t="n">
        <x:f>(E1130-F1130)*H1130</x:f>
        <x:v>48</x:v>
      </x:c>
      <x:c r="O1130" s="19" t="n">
        <x:f>F1130*J1130</x:f>
        <x:v>0</x:v>
      </x:c>
      <x:c r="P1130" s="19" t="n">
        <x:f>M1130-N1130-O1130</x:f>
        <x:v>60</x:v>
      </x:c>
    </x:row>
    <x:row r="1131">
      <x:c r="A1131" s="15" t="str">
        <x:v>SIM-1127</x:v>
      </x:c>
      <x:c r="B1131" s="15" t="str">
        <x:v>2026-05</x:v>
      </x:c>
      <x:c r="C1131" s="15" t="str">
        <x:v>Calzado</x:v>
      </x:c>
      <x:c r="D1131" s="15" t="str">
        <x:v>Tienda</x:v>
      </x:c>
      <x:c r="E1131" s="15" t="n">
        <x:v>1</x:v>
      </x:c>
      <x:c r="F1131" s="15" t="n">
        <x:v>0</x:v>
      </x:c>
      <x:c r="G1131" s="19" t="n">
        <x:v>90</x:v>
      </x:c>
      <x:c r="H1131" s="19" t="n">
        <x:v>42</x:v>
      </x:c>
      <x:c r="I1131" s="17" t="n">
        <x:v>0.3</x:v>
      </x:c>
      <x:c r="J1131" s="19" t="n">
        <x:v>2</x:v>
      </x:c>
      <x:c r="K1131" s="19" t="n">
        <x:f>E1131*G1131</x:f>
        <x:v>90</x:v>
      </x:c>
      <x:c r="L1131" s="19" t="n">
        <x:f>K1131*I1131</x:f>
        <x:v>27</x:v>
      </x:c>
      <x:c r="M1131" s="19" t="n">
        <x:f>(E1131-F1131)*G1131*(1-I1131)</x:f>
        <x:v>62.99999999999999</x:v>
      </x:c>
      <x:c r="N1131" s="19" t="n">
        <x:f>(E1131-F1131)*H1131</x:f>
        <x:v>42</x:v>
      </x:c>
      <x:c r="O1131" s="19" t="n">
        <x:f>F1131*J1131</x:f>
        <x:v>0</x:v>
      </x:c>
      <x:c r="P1131" s="19" t="n">
        <x:f>M1131-N1131-O1131</x:f>
        <x:v>20.999999999999993</x:v>
      </x:c>
    </x:row>
    <x:row r="1132">
      <x:c r="A1132" s="15" t="str">
        <x:v>SIM-1128</x:v>
      </x:c>
      <x:c r="B1132" s="15" t="str">
        <x:v>2026-05</x:v>
      </x:c>
      <x:c r="C1132" s="15" t="str">
        <x:v>Prendas</x:v>
      </x:c>
      <x:c r="D1132" s="15" t="str">
        <x:v>Tienda</x:v>
      </x:c>
      <x:c r="E1132" s="15" t="n">
        <x:v>1</x:v>
      </x:c>
      <x:c r="F1132" s="15" t="n">
        <x:v>0</x:v>
      </x:c>
      <x:c r="G1132" s="19" t="n">
        <x:v>60</x:v>
      </x:c>
      <x:c r="H1132" s="19" t="n">
        <x:v>24</x:v>
      </x:c>
      <x:c r="I1132" s="17" t="n">
        <x:v>0</x:v>
      </x:c>
      <x:c r="J1132" s="19" t="n">
        <x:v>2</x:v>
      </x:c>
      <x:c r="K1132" s="19" t="n">
        <x:f>E1132*G1132</x:f>
        <x:v>60</x:v>
      </x:c>
      <x:c r="L1132" s="19" t="n">
        <x:f>K1132*I1132</x:f>
        <x:v>0</x:v>
      </x:c>
      <x:c r="M1132" s="19" t="n">
        <x:f>(E1132-F1132)*G1132*(1-I1132)</x:f>
        <x:v>60</x:v>
      </x:c>
      <x:c r="N1132" s="19" t="n">
        <x:f>(E1132-F1132)*H1132</x:f>
        <x:v>24</x:v>
      </x:c>
      <x:c r="O1132" s="19" t="n">
        <x:f>F1132*J1132</x:f>
        <x:v>0</x:v>
      </x:c>
      <x:c r="P1132" s="19" t="n">
        <x:f>M1132-N1132-O1132</x:f>
        <x:v>36</x:v>
      </x:c>
    </x:row>
    <x:row r="1133">
      <x:c r="A1133" s="15" t="str">
        <x:v>SIM-1129</x:v>
      </x:c>
      <x:c r="B1133" s="15" t="str">
        <x:v>2026-05</x:v>
      </x:c>
      <x:c r="C1133" s="15" t="str">
        <x:v>Calzado</x:v>
      </x:c>
      <x:c r="D1133" s="15" t="str">
        <x:v>Online</x:v>
      </x:c>
      <x:c r="E1133" s="15" t="n">
        <x:v>1</x:v>
      </x:c>
      <x:c r="F1133" s="15" t="n">
        <x:v>0</x:v>
      </x:c>
      <x:c r="G1133" s="19" t="n">
        <x:v>90</x:v>
      </x:c>
      <x:c r="H1133" s="19" t="n">
        <x:v>42</x:v>
      </x:c>
      <x:c r="I1133" s="17" t="n">
        <x:v>0</x:v>
      </x:c>
      <x:c r="J1133" s="19" t="n">
        <x:v>6</x:v>
      </x:c>
      <x:c r="K1133" s="19" t="n">
        <x:f>E1133*G1133</x:f>
        <x:v>90</x:v>
      </x:c>
      <x:c r="L1133" s="19" t="n">
        <x:f>K1133*I1133</x:f>
        <x:v>0</x:v>
      </x:c>
      <x:c r="M1133" s="19" t="n">
        <x:f>(E1133-F1133)*G1133*(1-I1133)</x:f>
        <x:v>90</x:v>
      </x:c>
      <x:c r="N1133" s="19" t="n">
        <x:f>(E1133-F1133)*H1133</x:f>
        <x:v>42</x:v>
      </x:c>
      <x:c r="O1133" s="19" t="n">
        <x:f>F1133*J1133</x:f>
        <x:v>0</x:v>
      </x:c>
      <x:c r="P1133" s="19" t="n">
        <x:f>M1133-N1133-O1133</x:f>
        <x:v>48</x:v>
      </x:c>
    </x:row>
    <x:row r="1134">
      <x:c r="A1134" s="15" t="str">
        <x:v>SIM-1130</x:v>
      </x:c>
      <x:c r="B1134" s="15" t="str">
        <x:v>2026-05</x:v>
      </x:c>
      <x:c r="C1134" s="15" t="str">
        <x:v>Calzado</x:v>
      </x:c>
      <x:c r="D1134" s="15" t="str">
        <x:v>Tienda</x:v>
      </x:c>
      <x:c r="E1134" s="15" t="n">
        <x:v>1</x:v>
      </x:c>
      <x:c r="F1134" s="15" t="n">
        <x:v>0</x:v>
      </x:c>
      <x:c r="G1134" s="19" t="n">
        <x:v>90</x:v>
      </x:c>
      <x:c r="H1134" s="19" t="n">
        <x:v>42</x:v>
      </x:c>
      <x:c r="I1134" s="17" t="n">
        <x:v>0.2</x:v>
      </x:c>
      <x:c r="J1134" s="19" t="n">
        <x:v>2</x:v>
      </x:c>
      <x:c r="K1134" s="19" t="n">
        <x:f>E1134*G1134</x:f>
        <x:v>90</x:v>
      </x:c>
      <x:c r="L1134" s="19" t="n">
        <x:f>K1134*I1134</x:f>
        <x:v>18</x:v>
      </x:c>
      <x:c r="M1134" s="19" t="n">
        <x:f>(E1134-F1134)*G1134*(1-I1134)</x:f>
        <x:v>72</x:v>
      </x:c>
      <x:c r="N1134" s="19" t="n">
        <x:f>(E1134-F1134)*H1134</x:f>
        <x:v>42</x:v>
      </x:c>
      <x:c r="O1134" s="19" t="n">
        <x:f>F1134*J1134</x:f>
        <x:v>0</x:v>
      </x:c>
      <x:c r="P1134" s="19" t="n">
        <x:f>M1134-N1134-O1134</x:f>
        <x:v>30</x:v>
      </x:c>
    </x:row>
    <x:row r="1135">
      <x:c r="A1135" s="15" t="str">
        <x:v>SIM-1131</x:v>
      </x:c>
      <x:c r="B1135" s="15" t="str">
        <x:v>2026-05</x:v>
      </x:c>
      <x:c r="C1135" s="15" t="str">
        <x:v>Calzado</x:v>
      </x:c>
      <x:c r="D1135" s="15" t="str">
        <x:v>Tienda</x:v>
      </x:c>
      <x:c r="E1135" s="15" t="n">
        <x:v>1</x:v>
      </x:c>
      <x:c r="F1135" s="15" t="n">
        <x:v>0</x:v>
      </x:c>
      <x:c r="G1135" s="19" t="n">
        <x:v>90</x:v>
      </x:c>
      <x:c r="H1135" s="19" t="n">
        <x:v>42</x:v>
      </x:c>
      <x:c r="I1135" s="17" t="n">
        <x:v>0.3</x:v>
      </x:c>
      <x:c r="J1135" s="19" t="n">
        <x:v>2</x:v>
      </x:c>
      <x:c r="K1135" s="19" t="n">
        <x:f>E1135*G1135</x:f>
        <x:v>90</x:v>
      </x:c>
      <x:c r="L1135" s="19" t="n">
        <x:f>K1135*I1135</x:f>
        <x:v>27</x:v>
      </x:c>
      <x:c r="M1135" s="19" t="n">
        <x:f>(E1135-F1135)*G1135*(1-I1135)</x:f>
        <x:v>62.99999999999999</x:v>
      </x:c>
      <x:c r="N1135" s="19" t="n">
        <x:f>(E1135-F1135)*H1135</x:f>
        <x:v>42</x:v>
      </x:c>
      <x:c r="O1135" s="19" t="n">
        <x:f>F1135*J1135</x:f>
        <x:v>0</x:v>
      </x:c>
      <x:c r="P1135" s="19" t="n">
        <x:f>M1135-N1135-O1135</x:f>
        <x:v>20.999999999999993</x:v>
      </x:c>
    </x:row>
    <x:row r="1136">
      <x:c r="A1136" s="15" t="str">
        <x:v>SIM-1132</x:v>
      </x:c>
      <x:c r="B1136" s="15" t="str">
        <x:v>2026-05</x:v>
      </x:c>
      <x:c r="C1136" s="15" t="str">
        <x:v>Prendas</x:v>
      </x:c>
      <x:c r="D1136" s="15" t="str">
        <x:v>Online</x:v>
      </x:c>
      <x:c r="E1136" s="15" t="n">
        <x:v>1</x:v>
      </x:c>
      <x:c r="F1136" s="15" t="n">
        <x:v>0</x:v>
      </x:c>
      <x:c r="G1136" s="19" t="n">
        <x:v>60</x:v>
      </x:c>
      <x:c r="H1136" s="19" t="n">
        <x:v>24</x:v>
      </x:c>
      <x:c r="I1136" s="17" t="n">
        <x:v>0.3</x:v>
      </x:c>
      <x:c r="J1136" s="19" t="n">
        <x:v>6</x:v>
      </x:c>
      <x:c r="K1136" s="19" t="n">
        <x:f>E1136*G1136</x:f>
        <x:v>60</x:v>
      </x:c>
      <x:c r="L1136" s="19" t="n">
        <x:f>K1136*I1136</x:f>
        <x:v>18</x:v>
      </x:c>
      <x:c r="M1136" s="19" t="n">
        <x:f>(E1136-F1136)*G1136*(1-I1136)</x:f>
        <x:v>42</x:v>
      </x:c>
      <x:c r="N1136" s="19" t="n">
        <x:f>(E1136-F1136)*H1136</x:f>
        <x:v>24</x:v>
      </x:c>
      <x:c r="O1136" s="19" t="n">
        <x:f>F1136*J1136</x:f>
        <x:v>0</x:v>
      </x:c>
      <x:c r="P1136" s="19" t="n">
        <x:f>M1136-N1136-O1136</x:f>
        <x:v>18</x:v>
      </x:c>
    </x:row>
    <x:row r="1137">
      <x:c r="A1137" s="15" t="str">
        <x:v>SIM-1133</x:v>
      </x:c>
      <x:c r="B1137" s="15" t="str">
        <x:v>2026-05</x:v>
      </x:c>
      <x:c r="C1137" s="15" t="str">
        <x:v>Prendas</x:v>
      </x:c>
      <x:c r="D1137" s="15" t="str">
        <x:v>Online</x:v>
      </x:c>
      <x:c r="E1137" s="15" t="n">
        <x:v>3</x:v>
      </x:c>
      <x:c r="F1137" s="15" t="n">
        <x:v>1</x:v>
      </x:c>
      <x:c r="G1137" s="19" t="n">
        <x:v>60</x:v>
      </x:c>
      <x:c r="H1137" s="19" t="n">
        <x:v>24</x:v>
      </x:c>
      <x:c r="I1137" s="17" t="n">
        <x:v>0.3</x:v>
      </x:c>
      <x:c r="J1137" s="19" t="n">
        <x:v>6</x:v>
      </x:c>
      <x:c r="K1137" s="19" t="n">
        <x:f>E1137*G1137</x:f>
        <x:v>180</x:v>
      </x:c>
      <x:c r="L1137" s="19" t="n">
        <x:f>K1137*I1137</x:f>
        <x:v>54</x:v>
      </x:c>
      <x:c r="M1137" s="19" t="n">
        <x:f>(E1137-F1137)*G1137*(1-I1137)</x:f>
        <x:v>84</x:v>
      </x:c>
      <x:c r="N1137" s="19" t="n">
        <x:f>(E1137-F1137)*H1137</x:f>
        <x:v>48</x:v>
      </x:c>
      <x:c r="O1137" s="19" t="n">
        <x:f>F1137*J1137</x:f>
        <x:v>6</x:v>
      </x:c>
      <x:c r="P1137" s="19" t="n">
        <x:f>M1137-N1137-O1137</x:f>
        <x:v>30</x:v>
      </x:c>
    </x:row>
    <x:row r="1138">
      <x:c r="A1138" s="15" t="str">
        <x:v>SIM-1134</x:v>
      </x:c>
      <x:c r="B1138" s="15" t="str">
        <x:v>2026-05</x:v>
      </x:c>
      <x:c r="C1138" s="15" t="str">
        <x:v>Accesorios</x:v>
      </x:c>
      <x:c r="D1138" s="15" t="str">
        <x:v>Online</x:v>
      </x:c>
      <x:c r="E1138" s="15" t="n">
        <x:v>1</x:v>
      </x:c>
      <x:c r="F1138" s="15" t="n">
        <x:v>0</x:v>
      </x:c>
      <x:c r="G1138" s="19" t="n">
        <x:v>30</x:v>
      </x:c>
      <x:c r="H1138" s="19" t="n">
        <x:v>9</x:v>
      </x:c>
      <x:c r="I1138" s="17" t="n">
        <x:v>0.1</x:v>
      </x:c>
      <x:c r="J1138" s="19" t="n">
        <x:v>6</x:v>
      </x:c>
      <x:c r="K1138" s="19" t="n">
        <x:f>E1138*G1138</x:f>
        <x:v>30</x:v>
      </x:c>
      <x:c r="L1138" s="19" t="n">
        <x:f>K1138*I1138</x:f>
        <x:v>3</x:v>
      </x:c>
      <x:c r="M1138" s="19" t="n">
        <x:f>(E1138-F1138)*G1138*(1-I1138)</x:f>
        <x:v>27</x:v>
      </x:c>
      <x:c r="N1138" s="19" t="n">
        <x:f>(E1138-F1138)*H1138</x:f>
        <x:v>9</x:v>
      </x:c>
      <x:c r="O1138" s="19" t="n">
        <x:f>F1138*J1138</x:f>
        <x:v>0</x:v>
      </x:c>
      <x:c r="P1138" s="19" t="n">
        <x:f>M1138-N1138-O1138</x:f>
        <x:v>18</x:v>
      </x:c>
    </x:row>
    <x:row r="1139">
      <x:c r="A1139" s="15" t="str">
        <x:v>SIM-1135</x:v>
      </x:c>
      <x:c r="B1139" s="15" t="str">
        <x:v>2026-05</x:v>
      </x:c>
      <x:c r="C1139" s="15" t="str">
        <x:v>Prendas</x:v>
      </x:c>
      <x:c r="D1139" s="15" t="str">
        <x:v>Online</x:v>
      </x:c>
      <x:c r="E1139" s="15" t="n">
        <x:v>3</x:v>
      </x:c>
      <x:c r="F1139" s="15" t="n">
        <x:v>0</x:v>
      </x:c>
      <x:c r="G1139" s="19" t="n">
        <x:v>60</x:v>
      </x:c>
      <x:c r="H1139" s="19" t="n">
        <x:v>24</x:v>
      </x:c>
      <x:c r="I1139" s="17" t="n">
        <x:v>0.1</x:v>
      </x:c>
      <x:c r="J1139" s="19" t="n">
        <x:v>6</x:v>
      </x:c>
      <x:c r="K1139" s="19" t="n">
        <x:f>E1139*G1139</x:f>
        <x:v>180</x:v>
      </x:c>
      <x:c r="L1139" s="19" t="n">
        <x:f>K1139*I1139</x:f>
        <x:v>18</x:v>
      </x:c>
      <x:c r="M1139" s="19" t="n">
        <x:f>(E1139-F1139)*G1139*(1-I1139)</x:f>
        <x:v>162</x:v>
      </x:c>
      <x:c r="N1139" s="19" t="n">
        <x:f>(E1139-F1139)*H1139</x:f>
        <x:v>72</x:v>
      </x:c>
      <x:c r="O1139" s="19" t="n">
        <x:f>F1139*J1139</x:f>
        <x:v>0</x:v>
      </x:c>
      <x:c r="P1139" s="19" t="n">
        <x:f>M1139-N1139-O1139</x:f>
        <x:v>90</x:v>
      </x:c>
    </x:row>
    <x:row r="1140">
      <x:c r="A1140" s="15" t="str">
        <x:v>SIM-1136</x:v>
      </x:c>
      <x:c r="B1140" s="15" t="str">
        <x:v>2026-05</x:v>
      </x:c>
      <x:c r="C1140" s="15" t="str">
        <x:v>Accesorios</x:v>
      </x:c>
      <x:c r="D1140" s="15" t="str">
        <x:v>Tienda</x:v>
      </x:c>
      <x:c r="E1140" s="15" t="n">
        <x:v>1</x:v>
      </x:c>
      <x:c r="F1140" s="15" t="n">
        <x:v>0</x:v>
      </x:c>
      <x:c r="G1140" s="19" t="n">
        <x:v>30</x:v>
      </x:c>
      <x:c r="H1140" s="19" t="n">
        <x:v>9</x:v>
      </x:c>
      <x:c r="I1140" s="17" t="n">
        <x:v>0</x:v>
      </x:c>
      <x:c r="J1140" s="19" t="n">
        <x:v>2</x:v>
      </x:c>
      <x:c r="K1140" s="19" t="n">
        <x:f>E1140*G1140</x:f>
        <x:v>30</x:v>
      </x:c>
      <x:c r="L1140" s="19" t="n">
        <x:f>K1140*I1140</x:f>
        <x:v>0</x:v>
      </x:c>
      <x:c r="M1140" s="19" t="n">
        <x:f>(E1140-F1140)*G1140*(1-I1140)</x:f>
        <x:v>30</x:v>
      </x:c>
      <x:c r="N1140" s="19" t="n">
        <x:f>(E1140-F1140)*H1140</x:f>
        <x:v>9</x:v>
      </x:c>
      <x:c r="O1140" s="19" t="n">
        <x:f>F1140*J1140</x:f>
        <x:v>0</x:v>
      </x:c>
      <x:c r="P1140" s="19" t="n">
        <x:f>M1140-N1140-O1140</x:f>
        <x:v>21</x:v>
      </x:c>
    </x:row>
    <x:row r="1141">
      <x:c r="A1141" s="15" t="str">
        <x:v>SIM-1137</x:v>
      </x:c>
      <x:c r="B1141" s="15" t="str">
        <x:v>2026-05</x:v>
      </x:c>
      <x:c r="C1141" s="15" t="str">
        <x:v>Prendas</x:v>
      </x:c>
      <x:c r="D1141" s="15" t="str">
        <x:v>Tienda</x:v>
      </x:c>
      <x:c r="E1141" s="15" t="n">
        <x:v>3</x:v>
      </x:c>
      <x:c r="F1141" s="15" t="n">
        <x:v>0</x:v>
      </x:c>
      <x:c r="G1141" s="19" t="n">
        <x:v>60</x:v>
      </x:c>
      <x:c r="H1141" s="19" t="n">
        <x:v>24</x:v>
      </x:c>
      <x:c r="I1141" s="17" t="n">
        <x:v>0.3</x:v>
      </x:c>
      <x:c r="J1141" s="19" t="n">
        <x:v>2</x:v>
      </x:c>
      <x:c r="K1141" s="19" t="n">
        <x:f>E1141*G1141</x:f>
        <x:v>180</x:v>
      </x:c>
      <x:c r="L1141" s="19" t="n">
        <x:f>K1141*I1141</x:f>
        <x:v>54</x:v>
      </x:c>
      <x:c r="M1141" s="19" t="n">
        <x:f>(E1141-F1141)*G1141*(1-I1141)</x:f>
        <x:v>125.99999999999999</x:v>
      </x:c>
      <x:c r="N1141" s="19" t="n">
        <x:f>(E1141-F1141)*H1141</x:f>
        <x:v>72</x:v>
      </x:c>
      <x:c r="O1141" s="19" t="n">
        <x:f>F1141*J1141</x:f>
        <x:v>0</x:v>
      </x:c>
      <x:c r="P1141" s="19" t="n">
        <x:f>M1141-N1141-O1141</x:f>
        <x:v>53.999999999999986</x:v>
      </x:c>
    </x:row>
    <x:row r="1142">
      <x:c r="A1142" s="15" t="str">
        <x:v>SIM-1138</x:v>
      </x:c>
      <x:c r="B1142" s="15" t="str">
        <x:v>2026-05</x:v>
      </x:c>
      <x:c r="C1142" s="15" t="str">
        <x:v>Calzado</x:v>
      </x:c>
      <x:c r="D1142" s="15" t="str">
        <x:v>Online</x:v>
      </x:c>
      <x:c r="E1142" s="15" t="n">
        <x:v>1</x:v>
      </x:c>
      <x:c r="F1142" s="15" t="n">
        <x:v>0</x:v>
      </x:c>
      <x:c r="G1142" s="19" t="n">
        <x:v>90</x:v>
      </x:c>
      <x:c r="H1142" s="19" t="n">
        <x:v>42</x:v>
      </x:c>
      <x:c r="I1142" s="17" t="n">
        <x:v>0</x:v>
      </x:c>
      <x:c r="J1142" s="19" t="n">
        <x:v>6</x:v>
      </x:c>
      <x:c r="K1142" s="19" t="n">
        <x:f>E1142*G1142</x:f>
        <x:v>90</x:v>
      </x:c>
      <x:c r="L1142" s="19" t="n">
        <x:f>K1142*I1142</x:f>
        <x:v>0</x:v>
      </x:c>
      <x:c r="M1142" s="19" t="n">
        <x:f>(E1142-F1142)*G1142*(1-I1142)</x:f>
        <x:v>90</x:v>
      </x:c>
      <x:c r="N1142" s="19" t="n">
        <x:f>(E1142-F1142)*H1142</x:f>
        <x:v>42</x:v>
      </x:c>
      <x:c r="O1142" s="19" t="n">
        <x:f>F1142*J1142</x:f>
        <x:v>0</x:v>
      </x:c>
      <x:c r="P1142" s="19" t="n">
        <x:f>M1142-N1142-O1142</x:f>
        <x:v>48</x:v>
      </x:c>
    </x:row>
    <x:row r="1143">
      <x:c r="A1143" s="15" t="str">
        <x:v>SIM-1139</x:v>
      </x:c>
      <x:c r="B1143" s="15" t="str">
        <x:v>2026-05</x:v>
      </x:c>
      <x:c r="C1143" s="15" t="str">
        <x:v>Accesorios</x:v>
      </x:c>
      <x:c r="D1143" s="15" t="str">
        <x:v>Online</x:v>
      </x:c>
      <x:c r="E1143" s="15" t="n">
        <x:v>1</x:v>
      </x:c>
      <x:c r="F1143" s="15" t="n">
        <x:v>0</x:v>
      </x:c>
      <x:c r="G1143" s="19" t="n">
        <x:v>30</x:v>
      </x:c>
      <x:c r="H1143" s="19" t="n">
        <x:v>9</x:v>
      </x:c>
      <x:c r="I1143" s="17" t="n">
        <x:v>0</x:v>
      </x:c>
      <x:c r="J1143" s="19" t="n">
        <x:v>6</x:v>
      </x:c>
      <x:c r="K1143" s="19" t="n">
        <x:f>E1143*G1143</x:f>
        <x:v>30</x:v>
      </x:c>
      <x:c r="L1143" s="19" t="n">
        <x:f>K1143*I1143</x:f>
        <x:v>0</x:v>
      </x:c>
      <x:c r="M1143" s="19" t="n">
        <x:f>(E1143-F1143)*G1143*(1-I1143)</x:f>
        <x:v>30</x:v>
      </x:c>
      <x:c r="N1143" s="19" t="n">
        <x:f>(E1143-F1143)*H1143</x:f>
        <x:v>9</x:v>
      </x:c>
      <x:c r="O1143" s="19" t="n">
        <x:f>F1143*J1143</x:f>
        <x:v>0</x:v>
      </x:c>
      <x:c r="P1143" s="19" t="n">
        <x:f>M1143-N1143-O1143</x:f>
        <x:v>21</x:v>
      </x:c>
    </x:row>
    <x:row r="1144">
      <x:c r="A1144" s="15" t="str">
        <x:v>SIM-1140</x:v>
      </x:c>
      <x:c r="B1144" s="15" t="str">
        <x:v>2026-05</x:v>
      </x:c>
      <x:c r="C1144" s="15" t="str">
        <x:v>Accesorios</x:v>
      </x:c>
      <x:c r="D1144" s="15" t="str">
        <x:v>Tienda</x:v>
      </x:c>
      <x:c r="E1144" s="15" t="n">
        <x:v>1</x:v>
      </x:c>
      <x:c r="F1144" s="15" t="n">
        <x:v>0</x:v>
      </x:c>
      <x:c r="G1144" s="19" t="n">
        <x:v>30</x:v>
      </x:c>
      <x:c r="H1144" s="19" t="n">
        <x:v>9</x:v>
      </x:c>
      <x:c r="I1144" s="17" t="n">
        <x:v>0</x:v>
      </x:c>
      <x:c r="J1144" s="19" t="n">
        <x:v>2</x:v>
      </x:c>
      <x:c r="K1144" s="19" t="n">
        <x:f>E1144*G1144</x:f>
        <x:v>30</x:v>
      </x:c>
      <x:c r="L1144" s="19" t="n">
        <x:f>K1144*I1144</x:f>
        <x:v>0</x:v>
      </x:c>
      <x:c r="M1144" s="19" t="n">
        <x:f>(E1144-F1144)*G1144*(1-I1144)</x:f>
        <x:v>30</x:v>
      </x:c>
      <x:c r="N1144" s="19" t="n">
        <x:f>(E1144-F1144)*H1144</x:f>
        <x:v>9</x:v>
      </x:c>
      <x:c r="O1144" s="19" t="n">
        <x:f>F1144*J1144</x:f>
        <x:v>0</x:v>
      </x:c>
      <x:c r="P1144" s="19" t="n">
        <x:f>M1144-N1144-O1144</x:f>
        <x:v>21</x:v>
      </x:c>
    </x:row>
    <x:row r="1145">
      <x:c r="A1145" s="15" t="str">
        <x:v>SIM-1141</x:v>
      </x:c>
      <x:c r="B1145" s="15" t="str">
        <x:v>2026-05</x:v>
      </x:c>
      <x:c r="C1145" s="15" t="str">
        <x:v>Prendas</x:v>
      </x:c>
      <x:c r="D1145" s="15" t="str">
        <x:v>Online</x:v>
      </x:c>
      <x:c r="E1145" s="15" t="n">
        <x:v>3</x:v>
      </x:c>
      <x:c r="F1145" s="15" t="n">
        <x:v>0</x:v>
      </x:c>
      <x:c r="G1145" s="19" t="n">
        <x:v>60</x:v>
      </x:c>
      <x:c r="H1145" s="19" t="n">
        <x:v>24</x:v>
      </x:c>
      <x:c r="I1145" s="17" t="n">
        <x:v>0.2</x:v>
      </x:c>
      <x:c r="J1145" s="19" t="n">
        <x:v>6</x:v>
      </x:c>
      <x:c r="K1145" s="19" t="n">
        <x:f>E1145*G1145</x:f>
        <x:v>180</x:v>
      </x:c>
      <x:c r="L1145" s="19" t="n">
        <x:f>K1145*I1145</x:f>
        <x:v>36</x:v>
      </x:c>
      <x:c r="M1145" s="19" t="n">
        <x:f>(E1145-F1145)*G1145*(1-I1145)</x:f>
        <x:v>144</x:v>
      </x:c>
      <x:c r="N1145" s="19" t="n">
        <x:f>(E1145-F1145)*H1145</x:f>
        <x:v>72</x:v>
      </x:c>
      <x:c r="O1145" s="19" t="n">
        <x:f>F1145*J1145</x:f>
        <x:v>0</x:v>
      </x:c>
      <x:c r="P1145" s="19" t="n">
        <x:f>M1145-N1145-O1145</x:f>
        <x:v>72</x:v>
      </x:c>
    </x:row>
    <x:row r="1146">
      <x:c r="A1146" s="15" t="str">
        <x:v>SIM-1142</x:v>
      </x:c>
      <x:c r="B1146" s="15" t="str">
        <x:v>2026-05</x:v>
      </x:c>
      <x:c r="C1146" s="15" t="str">
        <x:v>Prendas</x:v>
      </x:c>
      <x:c r="D1146" s="15" t="str">
        <x:v>Online</x:v>
      </x:c>
      <x:c r="E1146" s="15" t="n">
        <x:v>1</x:v>
      </x:c>
      <x:c r="F1146" s="15" t="n">
        <x:v>0</x:v>
      </x:c>
      <x:c r="G1146" s="19" t="n">
        <x:v>60</x:v>
      </x:c>
      <x:c r="H1146" s="19" t="n">
        <x:v>24</x:v>
      </x:c>
      <x:c r="I1146" s="17" t="n">
        <x:v>0.1</x:v>
      </x:c>
      <x:c r="J1146" s="19" t="n">
        <x:v>6</x:v>
      </x:c>
      <x:c r="K1146" s="19" t="n">
        <x:f>E1146*G1146</x:f>
        <x:v>60</x:v>
      </x:c>
      <x:c r="L1146" s="19" t="n">
        <x:f>K1146*I1146</x:f>
        <x:v>6</x:v>
      </x:c>
      <x:c r="M1146" s="19" t="n">
        <x:f>(E1146-F1146)*G1146*(1-I1146)</x:f>
        <x:v>54</x:v>
      </x:c>
      <x:c r="N1146" s="19" t="n">
        <x:f>(E1146-F1146)*H1146</x:f>
        <x:v>24</x:v>
      </x:c>
      <x:c r="O1146" s="19" t="n">
        <x:f>F1146*J1146</x:f>
        <x:v>0</x:v>
      </x:c>
      <x:c r="P1146" s="19" t="n">
        <x:f>M1146-N1146-O1146</x:f>
        <x:v>30</x:v>
      </x:c>
    </x:row>
    <x:row r="1147">
      <x:c r="A1147" s="15" t="str">
        <x:v>SIM-1143</x:v>
      </x:c>
      <x:c r="B1147" s="15" t="str">
        <x:v>2026-05</x:v>
      </x:c>
      <x:c r="C1147" s="15" t="str">
        <x:v>Prendas</x:v>
      </x:c>
      <x:c r="D1147" s="15" t="str">
        <x:v>Tienda</x:v>
      </x:c>
      <x:c r="E1147" s="15" t="n">
        <x:v>1</x:v>
      </x:c>
      <x:c r="F1147" s="15" t="n">
        <x:v>0</x:v>
      </x:c>
      <x:c r="G1147" s="19" t="n">
        <x:v>60</x:v>
      </x:c>
      <x:c r="H1147" s="19" t="n">
        <x:v>24</x:v>
      </x:c>
      <x:c r="I1147" s="17" t="n">
        <x:v>0.1</x:v>
      </x:c>
      <x:c r="J1147" s="19" t="n">
        <x:v>2</x:v>
      </x:c>
      <x:c r="K1147" s="19" t="n">
        <x:f>E1147*G1147</x:f>
        <x:v>60</x:v>
      </x:c>
      <x:c r="L1147" s="19" t="n">
        <x:f>K1147*I1147</x:f>
        <x:v>6</x:v>
      </x:c>
      <x:c r="M1147" s="19" t="n">
        <x:f>(E1147-F1147)*G1147*(1-I1147)</x:f>
        <x:v>54</x:v>
      </x:c>
      <x:c r="N1147" s="19" t="n">
        <x:f>(E1147-F1147)*H1147</x:f>
        <x:v>24</x:v>
      </x:c>
      <x:c r="O1147" s="19" t="n">
        <x:f>F1147*J1147</x:f>
        <x:v>0</x:v>
      </x:c>
      <x:c r="P1147" s="19" t="n">
        <x:f>M1147-N1147-O1147</x:f>
        <x:v>30</x:v>
      </x:c>
    </x:row>
    <x:row r="1148">
      <x:c r="A1148" s="15" t="str">
        <x:v>SIM-1144</x:v>
      </x:c>
      <x:c r="B1148" s="15" t="str">
        <x:v>2026-05</x:v>
      </x:c>
      <x:c r="C1148" s="15" t="str">
        <x:v>Prendas</x:v>
      </x:c>
      <x:c r="D1148" s="15" t="str">
        <x:v>Online</x:v>
      </x:c>
      <x:c r="E1148" s="15" t="n">
        <x:v>3</x:v>
      </x:c>
      <x:c r="F1148" s="15" t="n">
        <x:v>1</x:v>
      </x:c>
      <x:c r="G1148" s="19" t="n">
        <x:v>60</x:v>
      </x:c>
      <x:c r="H1148" s="19" t="n">
        <x:v>24</x:v>
      </x:c>
      <x:c r="I1148" s="17" t="n">
        <x:v>0</x:v>
      </x:c>
      <x:c r="J1148" s="19" t="n">
        <x:v>6</x:v>
      </x:c>
      <x:c r="K1148" s="19" t="n">
        <x:f>E1148*G1148</x:f>
        <x:v>180</x:v>
      </x:c>
      <x:c r="L1148" s="19" t="n">
        <x:f>K1148*I1148</x:f>
        <x:v>0</x:v>
      </x:c>
      <x:c r="M1148" s="19" t="n">
        <x:f>(E1148-F1148)*G1148*(1-I1148)</x:f>
        <x:v>120</x:v>
      </x:c>
      <x:c r="N1148" s="19" t="n">
        <x:f>(E1148-F1148)*H1148</x:f>
        <x:v>48</x:v>
      </x:c>
      <x:c r="O1148" s="19" t="n">
        <x:f>F1148*J1148</x:f>
        <x:v>6</x:v>
      </x:c>
      <x:c r="P1148" s="19" t="n">
        <x:f>M1148-N1148-O1148</x:f>
        <x:v>66</x:v>
      </x:c>
    </x:row>
    <x:row r="1149">
      <x:c r="A1149" s="15" t="str">
        <x:v>SIM-1145</x:v>
      </x:c>
      <x:c r="B1149" s="15" t="str">
        <x:v>2026-05</x:v>
      </x:c>
      <x:c r="C1149" s="15" t="str">
        <x:v>Calzado</x:v>
      </x:c>
      <x:c r="D1149" s="15" t="str">
        <x:v>Online</x:v>
      </x:c>
      <x:c r="E1149" s="15" t="n">
        <x:v>1</x:v>
      </x:c>
      <x:c r="F1149" s="15" t="n">
        <x:v>0</x:v>
      </x:c>
      <x:c r="G1149" s="19" t="n">
        <x:v>90</x:v>
      </x:c>
      <x:c r="H1149" s="19" t="n">
        <x:v>42</x:v>
      </x:c>
      <x:c r="I1149" s="17" t="n">
        <x:v>0.3</x:v>
      </x:c>
      <x:c r="J1149" s="19" t="n">
        <x:v>6</x:v>
      </x:c>
      <x:c r="K1149" s="19" t="n">
        <x:f>E1149*G1149</x:f>
        <x:v>90</x:v>
      </x:c>
      <x:c r="L1149" s="19" t="n">
        <x:f>K1149*I1149</x:f>
        <x:v>27</x:v>
      </x:c>
      <x:c r="M1149" s="19" t="n">
        <x:f>(E1149-F1149)*G1149*(1-I1149)</x:f>
        <x:v>62.99999999999999</x:v>
      </x:c>
      <x:c r="N1149" s="19" t="n">
        <x:f>(E1149-F1149)*H1149</x:f>
        <x:v>42</x:v>
      </x:c>
      <x:c r="O1149" s="19" t="n">
        <x:f>F1149*J1149</x:f>
        <x:v>0</x:v>
      </x:c>
      <x:c r="P1149" s="19" t="n">
        <x:f>M1149-N1149-O1149</x:f>
        <x:v>20.999999999999993</x:v>
      </x:c>
    </x:row>
    <x:row r="1150">
      <x:c r="A1150" s="15" t="str">
        <x:v>SIM-1146</x:v>
      </x:c>
      <x:c r="B1150" s="15" t="str">
        <x:v>2026-05</x:v>
      </x:c>
      <x:c r="C1150" s="15" t="str">
        <x:v>Prendas</x:v>
      </x:c>
      <x:c r="D1150" s="15" t="str">
        <x:v>Tienda</x:v>
      </x:c>
      <x:c r="E1150" s="15" t="n">
        <x:v>1</x:v>
      </x:c>
      <x:c r="F1150" s="15" t="n">
        <x:v>0</x:v>
      </x:c>
      <x:c r="G1150" s="19" t="n">
        <x:v>60</x:v>
      </x:c>
      <x:c r="H1150" s="19" t="n">
        <x:v>24</x:v>
      </x:c>
      <x:c r="I1150" s="17" t="n">
        <x:v>0.1</x:v>
      </x:c>
      <x:c r="J1150" s="19" t="n">
        <x:v>2</x:v>
      </x:c>
      <x:c r="K1150" s="19" t="n">
        <x:f>E1150*G1150</x:f>
        <x:v>60</x:v>
      </x:c>
      <x:c r="L1150" s="19" t="n">
        <x:f>K1150*I1150</x:f>
        <x:v>6</x:v>
      </x:c>
      <x:c r="M1150" s="19" t="n">
        <x:f>(E1150-F1150)*G1150*(1-I1150)</x:f>
        <x:v>54</x:v>
      </x:c>
      <x:c r="N1150" s="19" t="n">
        <x:f>(E1150-F1150)*H1150</x:f>
        <x:v>24</x:v>
      </x:c>
      <x:c r="O1150" s="19" t="n">
        <x:f>F1150*J1150</x:f>
        <x:v>0</x:v>
      </x:c>
      <x:c r="P1150" s="19" t="n">
        <x:f>M1150-N1150-O1150</x:f>
        <x:v>30</x:v>
      </x:c>
    </x:row>
    <x:row r="1151">
      <x:c r="A1151" s="15" t="str">
        <x:v>SIM-1147</x:v>
      </x:c>
      <x:c r="B1151" s="15" t="str">
        <x:v>2026-05</x:v>
      </x:c>
      <x:c r="C1151" s="15" t="str">
        <x:v>Calzado</x:v>
      </x:c>
      <x:c r="D1151" s="15" t="str">
        <x:v>Tienda</x:v>
      </x:c>
      <x:c r="E1151" s="15" t="n">
        <x:v>1</x:v>
      </x:c>
      <x:c r="F1151" s="15" t="n">
        <x:v>0</x:v>
      </x:c>
      <x:c r="G1151" s="19" t="n">
        <x:v>90</x:v>
      </x:c>
      <x:c r="H1151" s="19" t="n">
        <x:v>42</x:v>
      </x:c>
      <x:c r="I1151" s="17" t="n">
        <x:v>0</x:v>
      </x:c>
      <x:c r="J1151" s="19" t="n">
        <x:v>2</x:v>
      </x:c>
      <x:c r="K1151" s="19" t="n">
        <x:f>E1151*G1151</x:f>
        <x:v>90</x:v>
      </x:c>
      <x:c r="L1151" s="19" t="n">
        <x:f>K1151*I1151</x:f>
        <x:v>0</x:v>
      </x:c>
      <x:c r="M1151" s="19" t="n">
        <x:f>(E1151-F1151)*G1151*(1-I1151)</x:f>
        <x:v>90</x:v>
      </x:c>
      <x:c r="N1151" s="19" t="n">
        <x:f>(E1151-F1151)*H1151</x:f>
        <x:v>42</x:v>
      </x:c>
      <x:c r="O1151" s="19" t="n">
        <x:f>F1151*J1151</x:f>
        <x:v>0</x:v>
      </x:c>
      <x:c r="P1151" s="19" t="n">
        <x:f>M1151-N1151-O1151</x:f>
        <x:v>48</x:v>
      </x:c>
    </x:row>
    <x:row r="1152">
      <x:c r="A1152" s="15" t="str">
        <x:v>SIM-1148</x:v>
      </x:c>
      <x:c r="B1152" s="15" t="str">
        <x:v>2026-05</x:v>
      </x:c>
      <x:c r="C1152" s="15" t="str">
        <x:v>Prendas</x:v>
      </x:c>
      <x:c r="D1152" s="15" t="str">
        <x:v>Tienda</x:v>
      </x:c>
      <x:c r="E1152" s="15" t="n">
        <x:v>2</x:v>
      </x:c>
      <x:c r="F1152" s="15" t="n">
        <x:v>0</x:v>
      </x:c>
      <x:c r="G1152" s="19" t="n">
        <x:v>60</x:v>
      </x:c>
      <x:c r="H1152" s="19" t="n">
        <x:v>24</x:v>
      </x:c>
      <x:c r="I1152" s="17" t="n">
        <x:v>0.3</x:v>
      </x:c>
      <x:c r="J1152" s="19" t="n">
        <x:v>2</x:v>
      </x:c>
      <x:c r="K1152" s="19" t="n">
        <x:f>E1152*G1152</x:f>
        <x:v>120</x:v>
      </x:c>
      <x:c r="L1152" s="19" t="n">
        <x:f>K1152*I1152</x:f>
        <x:v>36</x:v>
      </x:c>
      <x:c r="M1152" s="19" t="n">
        <x:f>(E1152-F1152)*G1152*(1-I1152)</x:f>
        <x:v>84</x:v>
      </x:c>
      <x:c r="N1152" s="19" t="n">
        <x:f>(E1152-F1152)*H1152</x:f>
        <x:v>48</x:v>
      </x:c>
      <x:c r="O1152" s="19" t="n">
        <x:f>F1152*J1152</x:f>
        <x:v>0</x:v>
      </x:c>
      <x:c r="P1152" s="19" t="n">
        <x:f>M1152-N1152-O1152</x:f>
        <x:v>36</x:v>
      </x:c>
    </x:row>
    <x:row r="1153">
      <x:c r="A1153" s="15" t="str">
        <x:v>SIM-1149</x:v>
      </x:c>
      <x:c r="B1153" s="15" t="str">
        <x:v>2026-05</x:v>
      </x:c>
      <x:c r="C1153" s="15" t="str">
        <x:v>Prendas</x:v>
      </x:c>
      <x:c r="D1153" s="15" t="str">
        <x:v>Online</x:v>
      </x:c>
      <x:c r="E1153" s="15" t="n">
        <x:v>2</x:v>
      </x:c>
      <x:c r="F1153" s="15" t="n">
        <x:v>1</x:v>
      </x:c>
      <x:c r="G1153" s="19" t="n">
        <x:v>60</x:v>
      </x:c>
      <x:c r="H1153" s="19" t="n">
        <x:v>24</x:v>
      </x:c>
      <x:c r="I1153" s="17" t="n">
        <x:v>0.1</x:v>
      </x:c>
      <x:c r="J1153" s="19" t="n">
        <x:v>6</x:v>
      </x:c>
      <x:c r="K1153" s="19" t="n">
        <x:f>E1153*G1153</x:f>
        <x:v>120</x:v>
      </x:c>
      <x:c r="L1153" s="19" t="n">
        <x:f>K1153*I1153</x:f>
        <x:v>12</x:v>
      </x:c>
      <x:c r="M1153" s="19" t="n">
        <x:f>(E1153-F1153)*G1153*(1-I1153)</x:f>
        <x:v>54</x:v>
      </x:c>
      <x:c r="N1153" s="19" t="n">
        <x:f>(E1153-F1153)*H1153</x:f>
        <x:v>24</x:v>
      </x:c>
      <x:c r="O1153" s="19" t="n">
        <x:f>F1153*J1153</x:f>
        <x:v>6</x:v>
      </x:c>
      <x:c r="P1153" s="19" t="n">
        <x:f>M1153-N1153-O1153</x:f>
        <x:v>24</x:v>
      </x:c>
    </x:row>
    <x:row r="1154">
      <x:c r="A1154" s="15" t="str">
        <x:v>SIM-1150</x:v>
      </x:c>
      <x:c r="B1154" s="15" t="str">
        <x:v>2026-05</x:v>
      </x:c>
      <x:c r="C1154" s="15" t="str">
        <x:v>Accesorios</x:v>
      </x:c>
      <x:c r="D1154" s="15" t="str">
        <x:v>Online</x:v>
      </x:c>
      <x:c r="E1154" s="15" t="n">
        <x:v>1</x:v>
      </x:c>
      <x:c r="F1154" s="15" t="n">
        <x:v>0</x:v>
      </x:c>
      <x:c r="G1154" s="19" t="n">
        <x:v>30</x:v>
      </x:c>
      <x:c r="H1154" s="19" t="n">
        <x:v>9</x:v>
      </x:c>
      <x:c r="I1154" s="17" t="n">
        <x:v>0.2</x:v>
      </x:c>
      <x:c r="J1154" s="19" t="n">
        <x:v>6</x:v>
      </x:c>
      <x:c r="K1154" s="19" t="n">
        <x:f>E1154*G1154</x:f>
        <x:v>30</x:v>
      </x:c>
      <x:c r="L1154" s="19" t="n">
        <x:f>K1154*I1154</x:f>
        <x:v>6</x:v>
      </x:c>
      <x:c r="M1154" s="19" t="n">
        <x:f>(E1154-F1154)*G1154*(1-I1154)</x:f>
        <x:v>24</x:v>
      </x:c>
      <x:c r="N1154" s="19" t="n">
        <x:f>(E1154-F1154)*H1154</x:f>
        <x:v>9</x:v>
      </x:c>
      <x:c r="O1154" s="19" t="n">
        <x:f>F1154*J1154</x:f>
        <x:v>0</x:v>
      </x:c>
      <x:c r="P1154" s="19" t="n">
        <x:f>M1154-N1154-O1154</x:f>
        <x:v>15</x:v>
      </x:c>
    </x:row>
    <x:row r="1155">
      <x:c r="A1155" s="15" t="str">
        <x:v>SIM-1151</x:v>
      </x:c>
      <x:c r="B1155" s="15" t="str">
        <x:v>2026-05</x:v>
      </x:c>
      <x:c r="C1155" s="15" t="str">
        <x:v>Calzado</x:v>
      </x:c>
      <x:c r="D1155" s="15" t="str">
        <x:v>Tienda</x:v>
      </x:c>
      <x:c r="E1155" s="15" t="n">
        <x:v>1</x:v>
      </x:c>
      <x:c r="F1155" s="15" t="n">
        <x:v>0</x:v>
      </x:c>
      <x:c r="G1155" s="19" t="n">
        <x:v>90</x:v>
      </x:c>
      <x:c r="H1155" s="19" t="n">
        <x:v>42</x:v>
      </x:c>
      <x:c r="I1155" s="17" t="n">
        <x:v>0</x:v>
      </x:c>
      <x:c r="J1155" s="19" t="n">
        <x:v>2</x:v>
      </x:c>
      <x:c r="K1155" s="19" t="n">
        <x:f>E1155*G1155</x:f>
        <x:v>90</x:v>
      </x:c>
      <x:c r="L1155" s="19" t="n">
        <x:f>K1155*I1155</x:f>
        <x:v>0</x:v>
      </x:c>
      <x:c r="M1155" s="19" t="n">
        <x:f>(E1155-F1155)*G1155*(1-I1155)</x:f>
        <x:v>90</x:v>
      </x:c>
      <x:c r="N1155" s="19" t="n">
        <x:f>(E1155-F1155)*H1155</x:f>
        <x:v>42</x:v>
      </x:c>
      <x:c r="O1155" s="19" t="n">
        <x:f>F1155*J1155</x:f>
        <x:v>0</x:v>
      </x:c>
      <x:c r="P1155" s="19" t="n">
        <x:f>M1155-N1155-O1155</x:f>
        <x:v>48</x:v>
      </x:c>
    </x:row>
    <x:row r="1156">
      <x:c r="A1156" s="15" t="str">
        <x:v>SIM-1152</x:v>
      </x:c>
      <x:c r="B1156" s="15" t="str">
        <x:v>2026-05</x:v>
      </x:c>
      <x:c r="C1156" s="15" t="str">
        <x:v>Accesorios</x:v>
      </x:c>
      <x:c r="D1156" s="15" t="str">
        <x:v>Tienda</x:v>
      </x:c>
      <x:c r="E1156" s="15" t="n">
        <x:v>1</x:v>
      </x:c>
      <x:c r="F1156" s="15" t="n">
        <x:v>0</x:v>
      </x:c>
      <x:c r="G1156" s="19" t="n">
        <x:v>30</x:v>
      </x:c>
      <x:c r="H1156" s="19" t="n">
        <x:v>9</x:v>
      </x:c>
      <x:c r="I1156" s="17" t="n">
        <x:v>0.2</x:v>
      </x:c>
      <x:c r="J1156" s="19" t="n">
        <x:v>2</x:v>
      </x:c>
      <x:c r="K1156" s="19" t="n">
        <x:f>E1156*G1156</x:f>
        <x:v>30</x:v>
      </x:c>
      <x:c r="L1156" s="19" t="n">
        <x:f>K1156*I1156</x:f>
        <x:v>6</x:v>
      </x:c>
      <x:c r="M1156" s="19" t="n">
        <x:f>(E1156-F1156)*G1156*(1-I1156)</x:f>
        <x:v>24</x:v>
      </x:c>
      <x:c r="N1156" s="19" t="n">
        <x:f>(E1156-F1156)*H1156</x:f>
        <x:v>9</x:v>
      </x:c>
      <x:c r="O1156" s="19" t="n">
        <x:f>F1156*J1156</x:f>
        <x:v>0</x:v>
      </x:c>
      <x:c r="P1156" s="19" t="n">
        <x:f>M1156-N1156-O1156</x:f>
        <x:v>15</x:v>
      </x:c>
    </x:row>
    <x:row r="1157">
      <x:c r="A1157" s="15" t="str">
        <x:v>SIM-1153</x:v>
      </x:c>
      <x:c r="B1157" s="15" t="str">
        <x:v>2026-05</x:v>
      </x:c>
      <x:c r="C1157" s="15" t="str">
        <x:v>Prendas</x:v>
      </x:c>
      <x:c r="D1157" s="15" t="str">
        <x:v>Tienda</x:v>
      </x:c>
      <x:c r="E1157" s="15" t="n">
        <x:v>1</x:v>
      </x:c>
      <x:c r="F1157" s="15" t="n">
        <x:v>0</x:v>
      </x:c>
      <x:c r="G1157" s="19" t="n">
        <x:v>60</x:v>
      </x:c>
      <x:c r="H1157" s="19" t="n">
        <x:v>24</x:v>
      </x:c>
      <x:c r="I1157" s="17" t="n">
        <x:v>0.2</x:v>
      </x:c>
      <x:c r="J1157" s="19" t="n">
        <x:v>2</x:v>
      </x:c>
      <x:c r="K1157" s="19" t="n">
        <x:f>E1157*G1157</x:f>
        <x:v>60</x:v>
      </x:c>
      <x:c r="L1157" s="19" t="n">
        <x:f>K1157*I1157</x:f>
        <x:v>12</x:v>
      </x:c>
      <x:c r="M1157" s="19" t="n">
        <x:f>(E1157-F1157)*G1157*(1-I1157)</x:f>
        <x:v>48</x:v>
      </x:c>
      <x:c r="N1157" s="19" t="n">
        <x:f>(E1157-F1157)*H1157</x:f>
        <x:v>24</x:v>
      </x:c>
      <x:c r="O1157" s="19" t="n">
        <x:f>F1157*J1157</x:f>
        <x:v>0</x:v>
      </x:c>
      <x:c r="P1157" s="19" t="n">
        <x:f>M1157-N1157-O1157</x:f>
        <x:v>24</x:v>
      </x:c>
    </x:row>
    <x:row r="1158">
      <x:c r="A1158" s="15" t="str">
        <x:v>SIM-1154</x:v>
      </x:c>
      <x:c r="B1158" s="15" t="str">
        <x:v>2026-05</x:v>
      </x:c>
      <x:c r="C1158" s="15" t="str">
        <x:v>Prendas</x:v>
      </x:c>
      <x:c r="D1158" s="15" t="str">
        <x:v>Tienda</x:v>
      </x:c>
      <x:c r="E1158" s="15" t="n">
        <x:v>2</x:v>
      </x:c>
      <x:c r="F1158" s="15" t="n">
        <x:v>0</x:v>
      </x:c>
      <x:c r="G1158" s="19" t="n">
        <x:v>60</x:v>
      </x:c>
      <x:c r="H1158" s="19" t="n">
        <x:v>24</x:v>
      </x:c>
      <x:c r="I1158" s="17" t="n">
        <x:v>0.3</x:v>
      </x:c>
      <x:c r="J1158" s="19" t="n">
        <x:v>2</x:v>
      </x:c>
      <x:c r="K1158" s="19" t="n">
        <x:f>E1158*G1158</x:f>
        <x:v>120</x:v>
      </x:c>
      <x:c r="L1158" s="19" t="n">
        <x:f>K1158*I1158</x:f>
        <x:v>36</x:v>
      </x:c>
      <x:c r="M1158" s="19" t="n">
        <x:f>(E1158-F1158)*G1158*(1-I1158)</x:f>
        <x:v>84</x:v>
      </x:c>
      <x:c r="N1158" s="19" t="n">
        <x:f>(E1158-F1158)*H1158</x:f>
        <x:v>48</x:v>
      </x:c>
      <x:c r="O1158" s="19" t="n">
        <x:f>F1158*J1158</x:f>
        <x:v>0</x:v>
      </x:c>
      <x:c r="P1158" s="19" t="n">
        <x:f>M1158-N1158-O1158</x:f>
        <x:v>36</x:v>
      </x:c>
    </x:row>
    <x:row r="1159">
      <x:c r="A1159" s="15" t="str">
        <x:v>SIM-1155</x:v>
      </x:c>
      <x:c r="B1159" s="15" t="str">
        <x:v>2026-05</x:v>
      </x:c>
      <x:c r="C1159" s="15" t="str">
        <x:v>Accesorios</x:v>
      </x:c>
      <x:c r="D1159" s="15" t="str">
        <x:v>Tienda</x:v>
      </x:c>
      <x:c r="E1159" s="15" t="n">
        <x:v>1</x:v>
      </x:c>
      <x:c r="F1159" s="15" t="n">
        <x:v>0</x:v>
      </x:c>
      <x:c r="G1159" s="19" t="n">
        <x:v>30</x:v>
      </x:c>
      <x:c r="H1159" s="19" t="n">
        <x:v>9</x:v>
      </x:c>
      <x:c r="I1159" s="17" t="n">
        <x:v>0.2</x:v>
      </x:c>
      <x:c r="J1159" s="19" t="n">
        <x:v>2</x:v>
      </x:c>
      <x:c r="K1159" s="19" t="n">
        <x:f>E1159*G1159</x:f>
        <x:v>30</x:v>
      </x:c>
      <x:c r="L1159" s="19" t="n">
        <x:f>K1159*I1159</x:f>
        <x:v>6</x:v>
      </x:c>
      <x:c r="M1159" s="19" t="n">
        <x:f>(E1159-F1159)*G1159*(1-I1159)</x:f>
        <x:v>24</x:v>
      </x:c>
      <x:c r="N1159" s="19" t="n">
        <x:f>(E1159-F1159)*H1159</x:f>
        <x:v>9</x:v>
      </x:c>
      <x:c r="O1159" s="19" t="n">
        <x:f>F1159*J1159</x:f>
        <x:v>0</x:v>
      </x:c>
      <x:c r="P1159" s="19" t="n">
        <x:f>M1159-N1159-O1159</x:f>
        <x:v>15</x:v>
      </x:c>
    </x:row>
    <x:row r="1160">
      <x:c r="A1160" s="15" t="str">
        <x:v>SIM-1156</x:v>
      </x:c>
      <x:c r="B1160" s="15" t="str">
        <x:v>2026-05</x:v>
      </x:c>
      <x:c r="C1160" s="15" t="str">
        <x:v>Prendas</x:v>
      </x:c>
      <x:c r="D1160" s="15" t="str">
        <x:v>Tienda</x:v>
      </x:c>
      <x:c r="E1160" s="15" t="n">
        <x:v>1</x:v>
      </x:c>
      <x:c r="F1160" s="15" t="n">
        <x:v>0</x:v>
      </x:c>
      <x:c r="G1160" s="19" t="n">
        <x:v>60</x:v>
      </x:c>
      <x:c r="H1160" s="19" t="n">
        <x:v>24</x:v>
      </x:c>
      <x:c r="I1160" s="17" t="n">
        <x:v>0.1</x:v>
      </x:c>
      <x:c r="J1160" s="19" t="n">
        <x:v>2</x:v>
      </x:c>
      <x:c r="K1160" s="19" t="n">
        <x:f>E1160*G1160</x:f>
        <x:v>60</x:v>
      </x:c>
      <x:c r="L1160" s="19" t="n">
        <x:f>K1160*I1160</x:f>
        <x:v>6</x:v>
      </x:c>
      <x:c r="M1160" s="19" t="n">
        <x:f>(E1160-F1160)*G1160*(1-I1160)</x:f>
        <x:v>54</x:v>
      </x:c>
      <x:c r="N1160" s="19" t="n">
        <x:f>(E1160-F1160)*H1160</x:f>
        <x:v>24</x:v>
      </x:c>
      <x:c r="O1160" s="19" t="n">
        <x:f>F1160*J1160</x:f>
        <x:v>0</x:v>
      </x:c>
      <x:c r="P1160" s="19" t="n">
        <x:f>M1160-N1160-O1160</x:f>
        <x:v>30</x:v>
      </x:c>
    </x:row>
    <x:row r="1161">
      <x:c r="A1161" s="15" t="str">
        <x:v>SIM-1157</x:v>
      </x:c>
      <x:c r="B1161" s="15" t="str">
        <x:v>2026-05</x:v>
      </x:c>
      <x:c r="C1161" s="15" t="str">
        <x:v>Accesorios</x:v>
      </x:c>
      <x:c r="D1161" s="15" t="str">
        <x:v>Online</x:v>
      </x:c>
      <x:c r="E1161" s="15" t="n">
        <x:v>1</x:v>
      </x:c>
      <x:c r="F1161" s="15" t="n">
        <x:v>0</x:v>
      </x:c>
      <x:c r="G1161" s="19" t="n">
        <x:v>30</x:v>
      </x:c>
      <x:c r="H1161" s="19" t="n">
        <x:v>9</x:v>
      </x:c>
      <x:c r="I1161" s="17" t="n">
        <x:v>0.3</x:v>
      </x:c>
      <x:c r="J1161" s="19" t="n">
        <x:v>6</x:v>
      </x:c>
      <x:c r="K1161" s="19" t="n">
        <x:f>E1161*G1161</x:f>
        <x:v>30</x:v>
      </x:c>
      <x:c r="L1161" s="19" t="n">
        <x:f>K1161*I1161</x:f>
        <x:v>9</x:v>
      </x:c>
      <x:c r="M1161" s="19" t="n">
        <x:f>(E1161-F1161)*G1161*(1-I1161)</x:f>
        <x:v>21</x:v>
      </x:c>
      <x:c r="N1161" s="19" t="n">
        <x:f>(E1161-F1161)*H1161</x:f>
        <x:v>9</x:v>
      </x:c>
      <x:c r="O1161" s="19" t="n">
        <x:f>F1161*J1161</x:f>
        <x:v>0</x:v>
      </x:c>
      <x:c r="P1161" s="19" t="n">
        <x:f>M1161-N1161-O1161</x:f>
        <x:v>12</x:v>
      </x:c>
    </x:row>
    <x:row r="1162">
      <x:c r="A1162" s="15" t="str">
        <x:v>SIM-1158</x:v>
      </x:c>
      <x:c r="B1162" s="15" t="str">
        <x:v>2026-05</x:v>
      </x:c>
      <x:c r="C1162" s="15" t="str">
        <x:v>Prendas</x:v>
      </x:c>
      <x:c r="D1162" s="15" t="str">
        <x:v>Tienda</x:v>
      </x:c>
      <x:c r="E1162" s="15" t="n">
        <x:v>3</x:v>
      </x:c>
      <x:c r="F1162" s="15" t="n">
        <x:v>0</x:v>
      </x:c>
      <x:c r="G1162" s="19" t="n">
        <x:v>60</x:v>
      </x:c>
      <x:c r="H1162" s="19" t="n">
        <x:v>24</x:v>
      </x:c>
      <x:c r="I1162" s="17" t="n">
        <x:v>0.2</x:v>
      </x:c>
      <x:c r="J1162" s="19" t="n">
        <x:v>2</x:v>
      </x:c>
      <x:c r="K1162" s="19" t="n">
        <x:f>E1162*G1162</x:f>
        <x:v>180</x:v>
      </x:c>
      <x:c r="L1162" s="19" t="n">
        <x:f>K1162*I1162</x:f>
        <x:v>36</x:v>
      </x:c>
      <x:c r="M1162" s="19" t="n">
        <x:f>(E1162-F1162)*G1162*(1-I1162)</x:f>
        <x:v>144</x:v>
      </x:c>
      <x:c r="N1162" s="19" t="n">
        <x:f>(E1162-F1162)*H1162</x:f>
        <x:v>72</x:v>
      </x:c>
      <x:c r="O1162" s="19" t="n">
        <x:f>F1162*J1162</x:f>
        <x:v>0</x:v>
      </x:c>
      <x:c r="P1162" s="19" t="n">
        <x:f>M1162-N1162-O1162</x:f>
        <x:v>72</x:v>
      </x:c>
    </x:row>
    <x:row r="1163">
      <x:c r="A1163" s="15" t="str">
        <x:v>SIM-1159</x:v>
      </x:c>
      <x:c r="B1163" s="15" t="str">
        <x:v>2026-05</x:v>
      </x:c>
      <x:c r="C1163" s="15" t="str">
        <x:v>Prendas</x:v>
      </x:c>
      <x:c r="D1163" s="15" t="str">
        <x:v>Online</x:v>
      </x:c>
      <x:c r="E1163" s="15" t="n">
        <x:v>3</x:v>
      </x:c>
      <x:c r="F1163" s="15" t="n">
        <x:v>0</x:v>
      </x:c>
      <x:c r="G1163" s="19" t="n">
        <x:v>60</x:v>
      </x:c>
      <x:c r="H1163" s="19" t="n">
        <x:v>24</x:v>
      </x:c>
      <x:c r="I1163" s="17" t="n">
        <x:v>0.1</x:v>
      </x:c>
      <x:c r="J1163" s="19" t="n">
        <x:v>6</x:v>
      </x:c>
      <x:c r="K1163" s="19" t="n">
        <x:f>E1163*G1163</x:f>
        <x:v>180</x:v>
      </x:c>
      <x:c r="L1163" s="19" t="n">
        <x:f>K1163*I1163</x:f>
        <x:v>18</x:v>
      </x:c>
      <x:c r="M1163" s="19" t="n">
        <x:f>(E1163-F1163)*G1163*(1-I1163)</x:f>
        <x:v>162</x:v>
      </x:c>
      <x:c r="N1163" s="19" t="n">
        <x:f>(E1163-F1163)*H1163</x:f>
        <x:v>72</x:v>
      </x:c>
      <x:c r="O1163" s="19" t="n">
        <x:f>F1163*J1163</x:f>
        <x:v>0</x:v>
      </x:c>
      <x:c r="P1163" s="19" t="n">
        <x:f>M1163-N1163-O1163</x:f>
        <x:v>90</x:v>
      </x:c>
    </x:row>
    <x:row r="1164">
      <x:c r="A1164" s="15" t="str">
        <x:v>SIM-1160</x:v>
      </x:c>
      <x:c r="B1164" s="15" t="str">
        <x:v>2026-05</x:v>
      </x:c>
      <x:c r="C1164" s="15" t="str">
        <x:v>Accesorios</x:v>
      </x:c>
      <x:c r="D1164" s="15" t="str">
        <x:v>Tienda</x:v>
      </x:c>
      <x:c r="E1164" s="15" t="n">
        <x:v>1</x:v>
      </x:c>
      <x:c r="F1164" s="15" t="n">
        <x:v>0</x:v>
      </x:c>
      <x:c r="G1164" s="19" t="n">
        <x:v>30</x:v>
      </x:c>
      <x:c r="H1164" s="19" t="n">
        <x:v>9</x:v>
      </x:c>
      <x:c r="I1164" s="17" t="n">
        <x:v>0.1</x:v>
      </x:c>
      <x:c r="J1164" s="19" t="n">
        <x:v>2</x:v>
      </x:c>
      <x:c r="K1164" s="19" t="n">
        <x:f>E1164*G1164</x:f>
        <x:v>30</x:v>
      </x:c>
      <x:c r="L1164" s="19" t="n">
        <x:f>K1164*I1164</x:f>
        <x:v>3</x:v>
      </x:c>
      <x:c r="M1164" s="19" t="n">
        <x:f>(E1164-F1164)*G1164*(1-I1164)</x:f>
        <x:v>27</x:v>
      </x:c>
      <x:c r="N1164" s="19" t="n">
        <x:f>(E1164-F1164)*H1164</x:f>
        <x:v>9</x:v>
      </x:c>
      <x:c r="O1164" s="19" t="n">
        <x:f>F1164*J1164</x:f>
        <x:v>0</x:v>
      </x:c>
      <x:c r="P1164" s="19" t="n">
        <x:f>M1164-N1164-O1164</x:f>
        <x:v>18</x:v>
      </x:c>
    </x:row>
    <x:row r="1165">
      <x:c r="A1165" s="15" t="str">
        <x:v>SIM-1161</x:v>
      </x:c>
      <x:c r="B1165" s="15" t="str">
        <x:v>2026-05</x:v>
      </x:c>
      <x:c r="C1165" s="15" t="str">
        <x:v>Prendas</x:v>
      </x:c>
      <x:c r="D1165" s="15" t="str">
        <x:v>Online</x:v>
      </x:c>
      <x:c r="E1165" s="15" t="n">
        <x:v>2</x:v>
      </x:c>
      <x:c r="F1165" s="15" t="n">
        <x:v>0</x:v>
      </x:c>
      <x:c r="G1165" s="19" t="n">
        <x:v>60</x:v>
      </x:c>
      <x:c r="H1165" s="19" t="n">
        <x:v>24</x:v>
      </x:c>
      <x:c r="I1165" s="17" t="n">
        <x:v>0</x:v>
      </x:c>
      <x:c r="J1165" s="19" t="n">
        <x:v>6</x:v>
      </x:c>
      <x:c r="K1165" s="19" t="n">
        <x:f>E1165*G1165</x:f>
        <x:v>120</x:v>
      </x:c>
      <x:c r="L1165" s="19" t="n">
        <x:f>K1165*I1165</x:f>
        <x:v>0</x:v>
      </x:c>
      <x:c r="M1165" s="19" t="n">
        <x:f>(E1165-F1165)*G1165*(1-I1165)</x:f>
        <x:v>120</x:v>
      </x:c>
      <x:c r="N1165" s="19" t="n">
        <x:f>(E1165-F1165)*H1165</x:f>
        <x:v>48</x:v>
      </x:c>
      <x:c r="O1165" s="19" t="n">
        <x:f>F1165*J1165</x:f>
        <x:v>0</x:v>
      </x:c>
      <x:c r="P1165" s="19" t="n">
        <x:f>M1165-N1165-O1165</x:f>
        <x:v>72</x:v>
      </x:c>
    </x:row>
    <x:row r="1166">
      <x:c r="A1166" s="15" t="str">
        <x:v>SIM-1162</x:v>
      </x:c>
      <x:c r="B1166" s="15" t="str">
        <x:v>2026-05</x:v>
      </x:c>
      <x:c r="C1166" s="15" t="str">
        <x:v>Accesorios</x:v>
      </x:c>
      <x:c r="D1166" s="15" t="str">
        <x:v>Online</x:v>
      </x:c>
      <x:c r="E1166" s="15" t="n">
        <x:v>3</x:v>
      </x:c>
      <x:c r="F1166" s="15" t="n">
        <x:v>0</x:v>
      </x:c>
      <x:c r="G1166" s="19" t="n">
        <x:v>30</x:v>
      </x:c>
      <x:c r="H1166" s="19" t="n">
        <x:v>9</x:v>
      </x:c>
      <x:c r="I1166" s="17" t="n">
        <x:v>0.2</x:v>
      </x:c>
      <x:c r="J1166" s="19" t="n">
        <x:v>6</x:v>
      </x:c>
      <x:c r="K1166" s="19" t="n">
        <x:f>E1166*G1166</x:f>
        <x:v>90</x:v>
      </x:c>
      <x:c r="L1166" s="19" t="n">
        <x:f>K1166*I1166</x:f>
        <x:v>18</x:v>
      </x:c>
      <x:c r="M1166" s="19" t="n">
        <x:f>(E1166-F1166)*G1166*(1-I1166)</x:f>
        <x:v>72</x:v>
      </x:c>
      <x:c r="N1166" s="19" t="n">
        <x:f>(E1166-F1166)*H1166</x:f>
        <x:v>27</x:v>
      </x:c>
      <x:c r="O1166" s="19" t="n">
        <x:f>F1166*J1166</x:f>
        <x:v>0</x:v>
      </x:c>
      <x:c r="P1166" s="19" t="n">
        <x:f>M1166-N1166-O1166</x:f>
        <x:v>45</x:v>
      </x:c>
    </x:row>
    <x:row r="1167">
      <x:c r="A1167" s="15" t="str">
        <x:v>SIM-1163</x:v>
      </x:c>
      <x:c r="B1167" s="15" t="str">
        <x:v>2026-05</x:v>
      </x:c>
      <x:c r="C1167" s="15" t="str">
        <x:v>Accesorios</x:v>
      </x:c>
      <x:c r="D1167" s="15" t="str">
        <x:v>Online</x:v>
      </x:c>
      <x:c r="E1167" s="15" t="n">
        <x:v>1</x:v>
      </x:c>
      <x:c r="F1167" s="15" t="n">
        <x:v>0</x:v>
      </x:c>
      <x:c r="G1167" s="19" t="n">
        <x:v>30</x:v>
      </x:c>
      <x:c r="H1167" s="19" t="n">
        <x:v>9</x:v>
      </x:c>
      <x:c r="I1167" s="17" t="n">
        <x:v>0.1</x:v>
      </x:c>
      <x:c r="J1167" s="19" t="n">
        <x:v>6</x:v>
      </x:c>
      <x:c r="K1167" s="19" t="n">
        <x:f>E1167*G1167</x:f>
        <x:v>30</x:v>
      </x:c>
      <x:c r="L1167" s="19" t="n">
        <x:f>K1167*I1167</x:f>
        <x:v>3</x:v>
      </x:c>
      <x:c r="M1167" s="19" t="n">
        <x:f>(E1167-F1167)*G1167*(1-I1167)</x:f>
        <x:v>27</x:v>
      </x:c>
      <x:c r="N1167" s="19" t="n">
        <x:f>(E1167-F1167)*H1167</x:f>
        <x:v>9</x:v>
      </x:c>
      <x:c r="O1167" s="19" t="n">
        <x:f>F1167*J1167</x:f>
        <x:v>0</x:v>
      </x:c>
      <x:c r="P1167" s="19" t="n">
        <x:f>M1167-N1167-O1167</x:f>
        <x:v>18</x:v>
      </x:c>
    </x:row>
    <x:row r="1168">
      <x:c r="A1168" s="15" t="str">
        <x:v>SIM-1164</x:v>
      </x:c>
      <x:c r="B1168" s="15" t="str">
        <x:v>2026-05</x:v>
      </x:c>
      <x:c r="C1168" s="15" t="str">
        <x:v>Prendas</x:v>
      </x:c>
      <x:c r="D1168" s="15" t="str">
        <x:v>Tienda</x:v>
      </x:c>
      <x:c r="E1168" s="15" t="n">
        <x:v>1</x:v>
      </x:c>
      <x:c r="F1168" s="15" t="n">
        <x:v>0</x:v>
      </x:c>
      <x:c r="G1168" s="19" t="n">
        <x:v>60</x:v>
      </x:c>
      <x:c r="H1168" s="19" t="n">
        <x:v>24</x:v>
      </x:c>
      <x:c r="I1168" s="17" t="n">
        <x:v>0</x:v>
      </x:c>
      <x:c r="J1168" s="19" t="n">
        <x:v>2</x:v>
      </x:c>
      <x:c r="K1168" s="19" t="n">
        <x:f>E1168*G1168</x:f>
        <x:v>60</x:v>
      </x:c>
      <x:c r="L1168" s="19" t="n">
        <x:f>K1168*I1168</x:f>
        <x:v>0</x:v>
      </x:c>
      <x:c r="M1168" s="19" t="n">
        <x:f>(E1168-F1168)*G1168*(1-I1168)</x:f>
        <x:v>60</x:v>
      </x:c>
      <x:c r="N1168" s="19" t="n">
        <x:f>(E1168-F1168)*H1168</x:f>
        <x:v>24</x:v>
      </x:c>
      <x:c r="O1168" s="19" t="n">
        <x:f>F1168*J1168</x:f>
        <x:v>0</x:v>
      </x:c>
      <x:c r="P1168" s="19" t="n">
        <x:f>M1168-N1168-O1168</x:f>
        <x:v>36</x:v>
      </x:c>
    </x:row>
    <x:row r="1169">
      <x:c r="A1169" s="15" t="str">
        <x:v>SIM-1165</x:v>
      </x:c>
      <x:c r="B1169" s="15" t="str">
        <x:v>2026-05</x:v>
      </x:c>
      <x:c r="C1169" s="15" t="str">
        <x:v>Calzado</x:v>
      </x:c>
      <x:c r="D1169" s="15" t="str">
        <x:v>Online</x:v>
      </x:c>
      <x:c r="E1169" s="15" t="n">
        <x:v>1</x:v>
      </x:c>
      <x:c r="F1169" s="15" t="n">
        <x:v>0</x:v>
      </x:c>
      <x:c r="G1169" s="19" t="n">
        <x:v>90</x:v>
      </x:c>
      <x:c r="H1169" s="19" t="n">
        <x:v>42</x:v>
      </x:c>
      <x:c r="I1169" s="17" t="n">
        <x:v>0.1</x:v>
      </x:c>
      <x:c r="J1169" s="19" t="n">
        <x:v>6</x:v>
      </x:c>
      <x:c r="K1169" s="19" t="n">
        <x:f>E1169*G1169</x:f>
        <x:v>90</x:v>
      </x:c>
      <x:c r="L1169" s="19" t="n">
        <x:f>K1169*I1169</x:f>
        <x:v>9</x:v>
      </x:c>
      <x:c r="M1169" s="19" t="n">
        <x:f>(E1169-F1169)*G1169*(1-I1169)</x:f>
        <x:v>81</x:v>
      </x:c>
      <x:c r="N1169" s="19" t="n">
        <x:f>(E1169-F1169)*H1169</x:f>
        <x:v>42</x:v>
      </x:c>
      <x:c r="O1169" s="19" t="n">
        <x:f>F1169*J1169</x:f>
        <x:v>0</x:v>
      </x:c>
      <x:c r="P1169" s="19" t="n">
        <x:f>M1169-N1169-O1169</x:f>
        <x:v>39</x:v>
      </x:c>
    </x:row>
    <x:row r="1170">
      <x:c r="A1170" s="15" t="str">
        <x:v>SIM-1166</x:v>
      </x:c>
      <x:c r="B1170" s="15" t="str">
        <x:v>2026-05</x:v>
      </x:c>
      <x:c r="C1170" s="15" t="str">
        <x:v>Prendas</x:v>
      </x:c>
      <x:c r="D1170" s="15" t="str">
        <x:v>Online</x:v>
      </x:c>
      <x:c r="E1170" s="15" t="n">
        <x:v>2</x:v>
      </x:c>
      <x:c r="F1170" s="15" t="n">
        <x:v>0</x:v>
      </x:c>
      <x:c r="G1170" s="19" t="n">
        <x:v>60</x:v>
      </x:c>
      <x:c r="H1170" s="19" t="n">
        <x:v>24</x:v>
      </x:c>
      <x:c r="I1170" s="17" t="n">
        <x:v>0.3</x:v>
      </x:c>
      <x:c r="J1170" s="19" t="n">
        <x:v>6</x:v>
      </x:c>
      <x:c r="K1170" s="19" t="n">
        <x:f>E1170*G1170</x:f>
        <x:v>120</x:v>
      </x:c>
      <x:c r="L1170" s="19" t="n">
        <x:f>K1170*I1170</x:f>
        <x:v>36</x:v>
      </x:c>
      <x:c r="M1170" s="19" t="n">
        <x:f>(E1170-F1170)*G1170*(1-I1170)</x:f>
        <x:v>84</x:v>
      </x:c>
      <x:c r="N1170" s="19" t="n">
        <x:f>(E1170-F1170)*H1170</x:f>
        <x:v>48</x:v>
      </x:c>
      <x:c r="O1170" s="19" t="n">
        <x:f>F1170*J1170</x:f>
        <x:v>0</x:v>
      </x:c>
      <x:c r="P1170" s="19" t="n">
        <x:f>M1170-N1170-O1170</x:f>
        <x:v>36</x:v>
      </x:c>
    </x:row>
    <x:row r="1171">
      <x:c r="A1171" s="15" t="str">
        <x:v>SIM-1167</x:v>
      </x:c>
      <x:c r="B1171" s="15" t="str">
        <x:v>2026-05</x:v>
      </x:c>
      <x:c r="C1171" s="15" t="str">
        <x:v>Calzado</x:v>
      </x:c>
      <x:c r="D1171" s="15" t="str">
        <x:v>Tienda</x:v>
      </x:c>
      <x:c r="E1171" s="15" t="n">
        <x:v>1</x:v>
      </x:c>
      <x:c r="F1171" s="15" t="n">
        <x:v>0</x:v>
      </x:c>
      <x:c r="G1171" s="19" t="n">
        <x:v>90</x:v>
      </x:c>
      <x:c r="H1171" s="19" t="n">
        <x:v>42</x:v>
      </x:c>
      <x:c r="I1171" s="17" t="n">
        <x:v>0</x:v>
      </x:c>
      <x:c r="J1171" s="19" t="n">
        <x:v>2</x:v>
      </x:c>
      <x:c r="K1171" s="19" t="n">
        <x:f>E1171*G1171</x:f>
        <x:v>90</x:v>
      </x:c>
      <x:c r="L1171" s="19" t="n">
        <x:f>K1171*I1171</x:f>
        <x:v>0</x:v>
      </x:c>
      <x:c r="M1171" s="19" t="n">
        <x:f>(E1171-F1171)*G1171*(1-I1171)</x:f>
        <x:v>90</x:v>
      </x:c>
      <x:c r="N1171" s="19" t="n">
        <x:f>(E1171-F1171)*H1171</x:f>
        <x:v>42</x:v>
      </x:c>
      <x:c r="O1171" s="19" t="n">
        <x:f>F1171*J1171</x:f>
        <x:v>0</x:v>
      </x:c>
      <x:c r="P1171" s="19" t="n">
        <x:f>M1171-N1171-O1171</x:f>
        <x:v>48</x:v>
      </x:c>
    </x:row>
    <x:row r="1172">
      <x:c r="A1172" s="15" t="str">
        <x:v>SIM-1168</x:v>
      </x:c>
      <x:c r="B1172" s="15" t="str">
        <x:v>2026-05</x:v>
      </x:c>
      <x:c r="C1172" s="15" t="str">
        <x:v>Calzado</x:v>
      </x:c>
      <x:c r="D1172" s="15" t="str">
        <x:v>Tienda</x:v>
      </x:c>
      <x:c r="E1172" s="15" t="n">
        <x:v>1</x:v>
      </x:c>
      <x:c r="F1172" s="15" t="n">
        <x:v>0</x:v>
      </x:c>
      <x:c r="G1172" s="19" t="n">
        <x:v>90</x:v>
      </x:c>
      <x:c r="H1172" s="19" t="n">
        <x:v>42</x:v>
      </x:c>
      <x:c r="I1172" s="17" t="n">
        <x:v>0.3</x:v>
      </x:c>
      <x:c r="J1172" s="19" t="n">
        <x:v>2</x:v>
      </x:c>
      <x:c r="K1172" s="19" t="n">
        <x:f>E1172*G1172</x:f>
        <x:v>90</x:v>
      </x:c>
      <x:c r="L1172" s="19" t="n">
        <x:f>K1172*I1172</x:f>
        <x:v>27</x:v>
      </x:c>
      <x:c r="M1172" s="19" t="n">
        <x:f>(E1172-F1172)*G1172*(1-I1172)</x:f>
        <x:v>62.99999999999999</x:v>
      </x:c>
      <x:c r="N1172" s="19" t="n">
        <x:f>(E1172-F1172)*H1172</x:f>
        <x:v>42</x:v>
      </x:c>
      <x:c r="O1172" s="19" t="n">
        <x:f>F1172*J1172</x:f>
        <x:v>0</x:v>
      </x:c>
      <x:c r="P1172" s="19" t="n">
        <x:f>M1172-N1172-O1172</x:f>
        <x:v>20.999999999999993</x:v>
      </x:c>
    </x:row>
    <x:row r="1173">
      <x:c r="A1173" s="15" t="str">
        <x:v>SIM-1169</x:v>
      </x:c>
      <x:c r="B1173" s="15" t="str">
        <x:v>2026-05</x:v>
      </x:c>
      <x:c r="C1173" s="15" t="str">
        <x:v>Accesorios</x:v>
      </x:c>
      <x:c r="D1173" s="15" t="str">
        <x:v>Online</x:v>
      </x:c>
      <x:c r="E1173" s="15" t="n">
        <x:v>1</x:v>
      </x:c>
      <x:c r="F1173" s="15" t="n">
        <x:v>0</x:v>
      </x:c>
      <x:c r="G1173" s="19" t="n">
        <x:v>30</x:v>
      </x:c>
      <x:c r="H1173" s="19" t="n">
        <x:v>9</x:v>
      </x:c>
      <x:c r="I1173" s="17" t="n">
        <x:v>0.1</x:v>
      </x:c>
      <x:c r="J1173" s="19" t="n">
        <x:v>6</x:v>
      </x:c>
      <x:c r="K1173" s="19" t="n">
        <x:f>E1173*G1173</x:f>
        <x:v>30</x:v>
      </x:c>
      <x:c r="L1173" s="19" t="n">
        <x:f>K1173*I1173</x:f>
        <x:v>3</x:v>
      </x:c>
      <x:c r="M1173" s="19" t="n">
        <x:f>(E1173-F1173)*G1173*(1-I1173)</x:f>
        <x:v>27</x:v>
      </x:c>
      <x:c r="N1173" s="19" t="n">
        <x:f>(E1173-F1173)*H1173</x:f>
        <x:v>9</x:v>
      </x:c>
      <x:c r="O1173" s="19" t="n">
        <x:f>F1173*J1173</x:f>
        <x:v>0</x:v>
      </x:c>
      <x:c r="P1173" s="19" t="n">
        <x:f>M1173-N1173-O1173</x:f>
        <x:v>18</x:v>
      </x:c>
    </x:row>
    <x:row r="1174">
      <x:c r="A1174" s="15" t="str">
        <x:v>SIM-1170</x:v>
      </x:c>
      <x:c r="B1174" s="15" t="str">
        <x:v>2026-05</x:v>
      </x:c>
      <x:c r="C1174" s="15" t="str">
        <x:v>Prendas</x:v>
      </x:c>
      <x:c r="D1174" s="15" t="str">
        <x:v>Online</x:v>
      </x:c>
      <x:c r="E1174" s="15" t="n">
        <x:v>1</x:v>
      </x:c>
      <x:c r="F1174" s="15" t="n">
        <x:v>0</x:v>
      </x:c>
      <x:c r="G1174" s="19" t="n">
        <x:v>60</x:v>
      </x:c>
      <x:c r="H1174" s="19" t="n">
        <x:v>24</x:v>
      </x:c>
      <x:c r="I1174" s="17" t="n">
        <x:v>0</x:v>
      </x:c>
      <x:c r="J1174" s="19" t="n">
        <x:v>6</x:v>
      </x:c>
      <x:c r="K1174" s="19" t="n">
        <x:f>E1174*G1174</x:f>
        <x:v>60</x:v>
      </x:c>
      <x:c r="L1174" s="19" t="n">
        <x:f>K1174*I1174</x:f>
        <x:v>0</x:v>
      </x:c>
      <x:c r="M1174" s="19" t="n">
        <x:f>(E1174-F1174)*G1174*(1-I1174)</x:f>
        <x:v>60</x:v>
      </x:c>
      <x:c r="N1174" s="19" t="n">
        <x:f>(E1174-F1174)*H1174</x:f>
        <x:v>24</x:v>
      </x:c>
      <x:c r="O1174" s="19" t="n">
        <x:f>F1174*J1174</x:f>
        <x:v>0</x:v>
      </x:c>
      <x:c r="P1174" s="19" t="n">
        <x:f>M1174-N1174-O1174</x:f>
        <x:v>36</x:v>
      </x:c>
    </x:row>
    <x:row r="1175">
      <x:c r="A1175" s="15" t="str">
        <x:v>SIM-1171</x:v>
      </x:c>
      <x:c r="B1175" s="15" t="str">
        <x:v>2026-05</x:v>
      </x:c>
      <x:c r="C1175" s="15" t="str">
        <x:v>Accesorios</x:v>
      </x:c>
      <x:c r="D1175" s="15" t="str">
        <x:v>Tienda</x:v>
      </x:c>
      <x:c r="E1175" s="15" t="n">
        <x:v>2</x:v>
      </x:c>
      <x:c r="F1175" s="15" t="n">
        <x:v>0</x:v>
      </x:c>
      <x:c r="G1175" s="19" t="n">
        <x:v>30</x:v>
      </x:c>
      <x:c r="H1175" s="19" t="n">
        <x:v>9</x:v>
      </x:c>
      <x:c r="I1175" s="17" t="n">
        <x:v>0.1</x:v>
      </x:c>
      <x:c r="J1175" s="19" t="n">
        <x:v>2</x:v>
      </x:c>
      <x:c r="K1175" s="19" t="n">
        <x:f>E1175*G1175</x:f>
        <x:v>60</x:v>
      </x:c>
      <x:c r="L1175" s="19" t="n">
        <x:f>K1175*I1175</x:f>
        <x:v>6</x:v>
      </x:c>
      <x:c r="M1175" s="19" t="n">
        <x:f>(E1175-F1175)*G1175*(1-I1175)</x:f>
        <x:v>54</x:v>
      </x:c>
      <x:c r="N1175" s="19" t="n">
        <x:f>(E1175-F1175)*H1175</x:f>
        <x:v>18</x:v>
      </x:c>
      <x:c r="O1175" s="19" t="n">
        <x:f>F1175*J1175</x:f>
        <x:v>0</x:v>
      </x:c>
      <x:c r="P1175" s="19" t="n">
        <x:f>M1175-N1175-O1175</x:f>
        <x:v>36</x:v>
      </x:c>
    </x:row>
    <x:row r="1176">
      <x:c r="A1176" s="15" t="str">
        <x:v>SIM-1172</x:v>
      </x:c>
      <x:c r="B1176" s="15" t="str">
        <x:v>2026-05</x:v>
      </x:c>
      <x:c r="C1176" s="15" t="str">
        <x:v>Prendas</x:v>
      </x:c>
      <x:c r="D1176" s="15" t="str">
        <x:v>Tienda</x:v>
      </x:c>
      <x:c r="E1176" s="15" t="n">
        <x:v>1</x:v>
      </x:c>
      <x:c r="F1176" s="15" t="n">
        <x:v>0</x:v>
      </x:c>
      <x:c r="G1176" s="19" t="n">
        <x:v>60</x:v>
      </x:c>
      <x:c r="H1176" s="19" t="n">
        <x:v>24</x:v>
      </x:c>
      <x:c r="I1176" s="17" t="n">
        <x:v>0</x:v>
      </x:c>
      <x:c r="J1176" s="19" t="n">
        <x:v>2</x:v>
      </x:c>
      <x:c r="K1176" s="19" t="n">
        <x:f>E1176*G1176</x:f>
        <x:v>60</x:v>
      </x:c>
      <x:c r="L1176" s="19" t="n">
        <x:f>K1176*I1176</x:f>
        <x:v>0</x:v>
      </x:c>
      <x:c r="M1176" s="19" t="n">
        <x:f>(E1176-F1176)*G1176*(1-I1176)</x:f>
        <x:v>60</x:v>
      </x:c>
      <x:c r="N1176" s="19" t="n">
        <x:f>(E1176-F1176)*H1176</x:f>
        <x:v>24</x:v>
      </x:c>
      <x:c r="O1176" s="19" t="n">
        <x:f>F1176*J1176</x:f>
        <x:v>0</x:v>
      </x:c>
      <x:c r="P1176" s="19" t="n">
        <x:f>M1176-N1176-O1176</x:f>
        <x:v>36</x:v>
      </x:c>
    </x:row>
    <x:row r="1177">
      <x:c r="A1177" s="15" t="str">
        <x:v>SIM-1173</x:v>
      </x:c>
      <x:c r="B1177" s="15" t="str">
        <x:v>2026-05</x:v>
      </x:c>
      <x:c r="C1177" s="15" t="str">
        <x:v>Prendas</x:v>
      </x:c>
      <x:c r="D1177" s="15" t="str">
        <x:v>Online</x:v>
      </x:c>
      <x:c r="E1177" s="15" t="n">
        <x:v>1</x:v>
      </x:c>
      <x:c r="F1177" s="15" t="n">
        <x:v>1</x:v>
      </x:c>
      <x:c r="G1177" s="19" t="n">
        <x:v>60</x:v>
      </x:c>
      <x:c r="H1177" s="19" t="n">
        <x:v>24</x:v>
      </x:c>
      <x:c r="I1177" s="17" t="n">
        <x:v>0.3</x:v>
      </x:c>
      <x:c r="J1177" s="19" t="n">
        <x:v>6</x:v>
      </x:c>
      <x:c r="K1177" s="19" t="n">
        <x:f>E1177*G1177</x:f>
        <x:v>60</x:v>
      </x:c>
      <x:c r="L1177" s="19" t="n">
        <x:f>K1177*I1177</x:f>
        <x:v>18</x:v>
      </x:c>
      <x:c r="M1177" s="19" t="n">
        <x:f>(E1177-F1177)*G1177*(1-I1177)</x:f>
        <x:v>0</x:v>
      </x:c>
      <x:c r="N1177" s="19" t="n">
        <x:f>(E1177-F1177)*H1177</x:f>
        <x:v>0</x:v>
      </x:c>
      <x:c r="O1177" s="19" t="n">
        <x:f>F1177*J1177</x:f>
        <x:v>6</x:v>
      </x:c>
      <x:c r="P1177" s="19" t="n">
        <x:f>M1177-N1177-O1177</x:f>
        <x:v>-6</x:v>
      </x:c>
    </x:row>
    <x:row r="1178">
      <x:c r="A1178" s="15" t="str">
        <x:v>SIM-1174</x:v>
      </x:c>
      <x:c r="B1178" s="15" t="str">
        <x:v>2026-05</x:v>
      </x:c>
      <x:c r="C1178" s="15" t="str">
        <x:v>Calzado</x:v>
      </x:c>
      <x:c r="D1178" s="15" t="str">
        <x:v>Tienda</x:v>
      </x:c>
      <x:c r="E1178" s="15" t="n">
        <x:v>1</x:v>
      </x:c>
      <x:c r="F1178" s="15" t="n">
        <x:v>0</x:v>
      </x:c>
      <x:c r="G1178" s="19" t="n">
        <x:v>90</x:v>
      </x:c>
      <x:c r="H1178" s="19" t="n">
        <x:v>42</x:v>
      </x:c>
      <x:c r="I1178" s="17" t="n">
        <x:v>0.3</x:v>
      </x:c>
      <x:c r="J1178" s="19" t="n">
        <x:v>2</x:v>
      </x:c>
      <x:c r="K1178" s="19" t="n">
        <x:f>E1178*G1178</x:f>
        <x:v>90</x:v>
      </x:c>
      <x:c r="L1178" s="19" t="n">
        <x:f>K1178*I1178</x:f>
        <x:v>27</x:v>
      </x:c>
      <x:c r="M1178" s="19" t="n">
        <x:f>(E1178-F1178)*G1178*(1-I1178)</x:f>
        <x:v>62.99999999999999</x:v>
      </x:c>
      <x:c r="N1178" s="19" t="n">
        <x:f>(E1178-F1178)*H1178</x:f>
        <x:v>42</x:v>
      </x:c>
      <x:c r="O1178" s="19" t="n">
        <x:f>F1178*J1178</x:f>
        <x:v>0</x:v>
      </x:c>
      <x:c r="P1178" s="19" t="n">
        <x:f>M1178-N1178-O1178</x:f>
        <x:v>20.999999999999993</x:v>
      </x:c>
    </x:row>
    <x:row r="1179">
      <x:c r="A1179" s="15" t="str">
        <x:v>SIM-1175</x:v>
      </x:c>
      <x:c r="B1179" s="15" t="str">
        <x:v>2026-05</x:v>
      </x:c>
      <x:c r="C1179" s="15" t="str">
        <x:v>Prendas</x:v>
      </x:c>
      <x:c r="D1179" s="15" t="str">
        <x:v>Tienda</x:v>
      </x:c>
      <x:c r="E1179" s="15" t="n">
        <x:v>2</x:v>
      </x:c>
      <x:c r="F1179" s="15" t="n">
        <x:v>0</x:v>
      </x:c>
      <x:c r="G1179" s="19" t="n">
        <x:v>60</x:v>
      </x:c>
      <x:c r="H1179" s="19" t="n">
        <x:v>24</x:v>
      </x:c>
      <x:c r="I1179" s="17" t="n">
        <x:v>0.3</x:v>
      </x:c>
      <x:c r="J1179" s="19" t="n">
        <x:v>2</x:v>
      </x:c>
      <x:c r="K1179" s="19" t="n">
        <x:f>E1179*G1179</x:f>
        <x:v>120</x:v>
      </x:c>
      <x:c r="L1179" s="19" t="n">
        <x:f>K1179*I1179</x:f>
        <x:v>36</x:v>
      </x:c>
      <x:c r="M1179" s="19" t="n">
        <x:f>(E1179-F1179)*G1179*(1-I1179)</x:f>
        <x:v>84</x:v>
      </x:c>
      <x:c r="N1179" s="19" t="n">
        <x:f>(E1179-F1179)*H1179</x:f>
        <x:v>48</x:v>
      </x:c>
      <x:c r="O1179" s="19" t="n">
        <x:f>F1179*J1179</x:f>
        <x:v>0</x:v>
      </x:c>
      <x:c r="P1179" s="19" t="n">
        <x:f>M1179-N1179-O1179</x:f>
        <x:v>36</x:v>
      </x:c>
    </x:row>
    <x:row r="1180">
      <x:c r="A1180" s="15" t="str">
        <x:v>SIM-1176</x:v>
      </x:c>
      <x:c r="B1180" s="15" t="str">
        <x:v>2026-05</x:v>
      </x:c>
      <x:c r="C1180" s="15" t="str">
        <x:v>Prendas</x:v>
      </x:c>
      <x:c r="D1180" s="15" t="str">
        <x:v>Online</x:v>
      </x:c>
      <x:c r="E1180" s="15" t="n">
        <x:v>2</x:v>
      </x:c>
      <x:c r="F1180" s="15" t="n">
        <x:v>1</x:v>
      </x:c>
      <x:c r="G1180" s="19" t="n">
        <x:v>60</x:v>
      </x:c>
      <x:c r="H1180" s="19" t="n">
        <x:v>24</x:v>
      </x:c>
      <x:c r="I1180" s="17" t="n">
        <x:v>0</x:v>
      </x:c>
      <x:c r="J1180" s="19" t="n">
        <x:v>6</x:v>
      </x:c>
      <x:c r="K1180" s="19" t="n">
        <x:f>E1180*G1180</x:f>
        <x:v>120</x:v>
      </x:c>
      <x:c r="L1180" s="19" t="n">
        <x:f>K1180*I1180</x:f>
        <x:v>0</x:v>
      </x:c>
      <x:c r="M1180" s="19" t="n">
        <x:f>(E1180-F1180)*G1180*(1-I1180)</x:f>
        <x:v>60</x:v>
      </x:c>
      <x:c r="N1180" s="19" t="n">
        <x:f>(E1180-F1180)*H1180</x:f>
        <x:v>24</x:v>
      </x:c>
      <x:c r="O1180" s="19" t="n">
        <x:f>F1180*J1180</x:f>
        <x:v>6</x:v>
      </x:c>
      <x:c r="P1180" s="19" t="n">
        <x:f>M1180-N1180-O1180</x:f>
        <x:v>30</x:v>
      </x:c>
    </x:row>
    <x:row r="1181">
      <x:c r="A1181" s="15" t="str">
        <x:v>SIM-1177</x:v>
      </x:c>
      <x:c r="B1181" s="15" t="str">
        <x:v>2026-05</x:v>
      </x:c>
      <x:c r="C1181" s="15" t="str">
        <x:v>Accesorios</x:v>
      </x:c>
      <x:c r="D1181" s="15" t="str">
        <x:v>Tienda</x:v>
      </x:c>
      <x:c r="E1181" s="15" t="n">
        <x:v>1</x:v>
      </x:c>
      <x:c r="F1181" s="15" t="n">
        <x:v>0</x:v>
      </x:c>
      <x:c r="G1181" s="19" t="n">
        <x:v>30</x:v>
      </x:c>
      <x:c r="H1181" s="19" t="n">
        <x:v>9</x:v>
      </x:c>
      <x:c r="I1181" s="17" t="n">
        <x:v>0.2</x:v>
      </x:c>
      <x:c r="J1181" s="19" t="n">
        <x:v>2</x:v>
      </x:c>
      <x:c r="K1181" s="19" t="n">
        <x:f>E1181*G1181</x:f>
        <x:v>30</x:v>
      </x:c>
      <x:c r="L1181" s="19" t="n">
        <x:f>K1181*I1181</x:f>
        <x:v>6</x:v>
      </x:c>
      <x:c r="M1181" s="19" t="n">
        <x:f>(E1181-F1181)*G1181*(1-I1181)</x:f>
        <x:v>24</x:v>
      </x:c>
      <x:c r="N1181" s="19" t="n">
        <x:f>(E1181-F1181)*H1181</x:f>
        <x:v>9</x:v>
      </x:c>
      <x:c r="O1181" s="19" t="n">
        <x:f>F1181*J1181</x:f>
        <x:v>0</x:v>
      </x:c>
      <x:c r="P1181" s="19" t="n">
        <x:f>M1181-N1181-O1181</x:f>
        <x:v>15</x:v>
      </x:c>
    </x:row>
    <x:row r="1182">
      <x:c r="A1182" s="15" t="str">
        <x:v>SIM-1178</x:v>
      </x:c>
      <x:c r="B1182" s="15" t="str">
        <x:v>2026-05</x:v>
      </x:c>
      <x:c r="C1182" s="15" t="str">
        <x:v>Calzado</x:v>
      </x:c>
      <x:c r="D1182" s="15" t="str">
        <x:v>Tienda</x:v>
      </x:c>
      <x:c r="E1182" s="15" t="n">
        <x:v>1</x:v>
      </x:c>
      <x:c r="F1182" s="15" t="n">
        <x:v>0</x:v>
      </x:c>
      <x:c r="G1182" s="19" t="n">
        <x:v>90</x:v>
      </x:c>
      <x:c r="H1182" s="19" t="n">
        <x:v>42</x:v>
      </x:c>
      <x:c r="I1182" s="17" t="n">
        <x:v>0.1</x:v>
      </x:c>
      <x:c r="J1182" s="19" t="n">
        <x:v>2</x:v>
      </x:c>
      <x:c r="K1182" s="19" t="n">
        <x:f>E1182*G1182</x:f>
        <x:v>90</x:v>
      </x:c>
      <x:c r="L1182" s="19" t="n">
        <x:f>K1182*I1182</x:f>
        <x:v>9</x:v>
      </x:c>
      <x:c r="M1182" s="19" t="n">
        <x:f>(E1182-F1182)*G1182*(1-I1182)</x:f>
        <x:v>81</x:v>
      </x:c>
      <x:c r="N1182" s="19" t="n">
        <x:f>(E1182-F1182)*H1182</x:f>
        <x:v>42</x:v>
      </x:c>
      <x:c r="O1182" s="19" t="n">
        <x:f>F1182*J1182</x:f>
        <x:v>0</x:v>
      </x:c>
      <x:c r="P1182" s="19" t="n">
        <x:f>M1182-N1182-O1182</x:f>
        <x:v>39</x:v>
      </x:c>
    </x:row>
    <x:row r="1183">
      <x:c r="A1183" s="15" t="str">
        <x:v>SIM-1179</x:v>
      </x:c>
      <x:c r="B1183" s="15" t="str">
        <x:v>2026-05</x:v>
      </x:c>
      <x:c r="C1183" s="15" t="str">
        <x:v>Prendas</x:v>
      </x:c>
      <x:c r="D1183" s="15" t="str">
        <x:v>Online</x:v>
      </x:c>
      <x:c r="E1183" s="15" t="n">
        <x:v>1</x:v>
      </x:c>
      <x:c r="F1183" s="15" t="n">
        <x:v>0</x:v>
      </x:c>
      <x:c r="G1183" s="19" t="n">
        <x:v>60</x:v>
      </x:c>
      <x:c r="H1183" s="19" t="n">
        <x:v>24</x:v>
      </x:c>
      <x:c r="I1183" s="17" t="n">
        <x:v>0</x:v>
      </x:c>
      <x:c r="J1183" s="19" t="n">
        <x:v>6</x:v>
      </x:c>
      <x:c r="K1183" s="19" t="n">
        <x:f>E1183*G1183</x:f>
        <x:v>60</x:v>
      </x:c>
      <x:c r="L1183" s="19" t="n">
        <x:f>K1183*I1183</x:f>
        <x:v>0</x:v>
      </x:c>
      <x:c r="M1183" s="19" t="n">
        <x:f>(E1183-F1183)*G1183*(1-I1183)</x:f>
        <x:v>60</x:v>
      </x:c>
      <x:c r="N1183" s="19" t="n">
        <x:f>(E1183-F1183)*H1183</x:f>
        <x:v>24</x:v>
      </x:c>
      <x:c r="O1183" s="19" t="n">
        <x:f>F1183*J1183</x:f>
        <x:v>0</x:v>
      </x:c>
      <x:c r="P1183" s="19" t="n">
        <x:f>M1183-N1183-O1183</x:f>
        <x:v>36</x:v>
      </x:c>
    </x:row>
    <x:row r="1184">
      <x:c r="A1184" s="15" t="str">
        <x:v>SIM-1180</x:v>
      </x:c>
      <x:c r="B1184" s="15" t="str">
        <x:v>2026-05</x:v>
      </x:c>
      <x:c r="C1184" s="15" t="str">
        <x:v>Prendas</x:v>
      </x:c>
      <x:c r="D1184" s="15" t="str">
        <x:v>Online</x:v>
      </x:c>
      <x:c r="E1184" s="15" t="n">
        <x:v>2</x:v>
      </x:c>
      <x:c r="F1184" s="15" t="n">
        <x:v>0</x:v>
      </x:c>
      <x:c r="G1184" s="19" t="n">
        <x:v>60</x:v>
      </x:c>
      <x:c r="H1184" s="19" t="n">
        <x:v>24</x:v>
      </x:c>
      <x:c r="I1184" s="17" t="n">
        <x:v>0</x:v>
      </x:c>
      <x:c r="J1184" s="19" t="n">
        <x:v>6</x:v>
      </x:c>
      <x:c r="K1184" s="19" t="n">
        <x:f>E1184*G1184</x:f>
        <x:v>120</x:v>
      </x:c>
      <x:c r="L1184" s="19" t="n">
        <x:f>K1184*I1184</x:f>
        <x:v>0</x:v>
      </x:c>
      <x:c r="M1184" s="19" t="n">
        <x:f>(E1184-F1184)*G1184*(1-I1184)</x:f>
        <x:v>120</x:v>
      </x:c>
      <x:c r="N1184" s="19" t="n">
        <x:f>(E1184-F1184)*H1184</x:f>
        <x:v>48</x:v>
      </x:c>
      <x:c r="O1184" s="19" t="n">
        <x:f>F1184*J1184</x:f>
        <x:v>0</x:v>
      </x:c>
      <x:c r="P1184" s="19" t="n">
        <x:f>M1184-N1184-O1184</x:f>
        <x:v>72</x:v>
      </x:c>
    </x:row>
    <x:row r="1185">
      <x:c r="A1185" s="15" t="str">
        <x:v>SIM-1181</x:v>
      </x:c>
      <x:c r="B1185" s="15" t="str">
        <x:v>2026-05</x:v>
      </x:c>
      <x:c r="C1185" s="15" t="str">
        <x:v>Prendas</x:v>
      </x:c>
      <x:c r="D1185" s="15" t="str">
        <x:v>Tienda</x:v>
      </x:c>
      <x:c r="E1185" s="15" t="n">
        <x:v>1</x:v>
      </x:c>
      <x:c r="F1185" s="15" t="n">
        <x:v>0</x:v>
      </x:c>
      <x:c r="G1185" s="19" t="n">
        <x:v>60</x:v>
      </x:c>
      <x:c r="H1185" s="19" t="n">
        <x:v>24</x:v>
      </x:c>
      <x:c r="I1185" s="17" t="n">
        <x:v>0</x:v>
      </x:c>
      <x:c r="J1185" s="19" t="n">
        <x:v>2</x:v>
      </x:c>
      <x:c r="K1185" s="19" t="n">
        <x:f>E1185*G1185</x:f>
        <x:v>60</x:v>
      </x:c>
      <x:c r="L1185" s="19" t="n">
        <x:f>K1185*I1185</x:f>
        <x:v>0</x:v>
      </x:c>
      <x:c r="M1185" s="19" t="n">
        <x:f>(E1185-F1185)*G1185*(1-I1185)</x:f>
        <x:v>60</x:v>
      </x:c>
      <x:c r="N1185" s="19" t="n">
        <x:f>(E1185-F1185)*H1185</x:f>
        <x:v>24</x:v>
      </x:c>
      <x:c r="O1185" s="19" t="n">
        <x:f>F1185*J1185</x:f>
        <x:v>0</x:v>
      </x:c>
      <x:c r="P1185" s="19" t="n">
        <x:f>M1185-N1185-O1185</x:f>
        <x:v>36</x:v>
      </x:c>
    </x:row>
    <x:row r="1186">
      <x:c r="A1186" s="15" t="str">
        <x:v>SIM-1182</x:v>
      </x:c>
      <x:c r="B1186" s="15" t="str">
        <x:v>2026-05</x:v>
      </x:c>
      <x:c r="C1186" s="15" t="str">
        <x:v>Calzado</x:v>
      </x:c>
      <x:c r="D1186" s="15" t="str">
        <x:v>Tienda</x:v>
      </x:c>
      <x:c r="E1186" s="15" t="n">
        <x:v>2</x:v>
      </x:c>
      <x:c r="F1186" s="15" t="n">
        <x:v>0</x:v>
      </x:c>
      <x:c r="G1186" s="19" t="n">
        <x:v>90</x:v>
      </x:c>
      <x:c r="H1186" s="19" t="n">
        <x:v>42</x:v>
      </x:c>
      <x:c r="I1186" s="17" t="n">
        <x:v>0.3</x:v>
      </x:c>
      <x:c r="J1186" s="19" t="n">
        <x:v>2</x:v>
      </x:c>
      <x:c r="K1186" s="19" t="n">
        <x:f>E1186*G1186</x:f>
        <x:v>180</x:v>
      </x:c>
      <x:c r="L1186" s="19" t="n">
        <x:f>K1186*I1186</x:f>
        <x:v>54</x:v>
      </x:c>
      <x:c r="M1186" s="19" t="n">
        <x:f>(E1186-F1186)*G1186*(1-I1186)</x:f>
        <x:v>125.99999999999999</x:v>
      </x:c>
      <x:c r="N1186" s="19" t="n">
        <x:f>(E1186-F1186)*H1186</x:f>
        <x:v>84</x:v>
      </x:c>
      <x:c r="O1186" s="19" t="n">
        <x:f>F1186*J1186</x:f>
        <x:v>0</x:v>
      </x:c>
      <x:c r="P1186" s="19" t="n">
        <x:f>M1186-N1186-O1186</x:f>
        <x:v>41.999999999999986</x:v>
      </x:c>
    </x:row>
    <x:row r="1187">
      <x:c r="A1187" s="15" t="str">
        <x:v>SIM-1183</x:v>
      </x:c>
      <x:c r="B1187" s="15" t="str">
        <x:v>2026-05</x:v>
      </x:c>
      <x:c r="C1187" s="15" t="str">
        <x:v>Prendas</x:v>
      </x:c>
      <x:c r="D1187" s="15" t="str">
        <x:v>Tienda</x:v>
      </x:c>
      <x:c r="E1187" s="15" t="n">
        <x:v>1</x:v>
      </x:c>
      <x:c r="F1187" s="15" t="n">
        <x:v>0</x:v>
      </x:c>
      <x:c r="G1187" s="19" t="n">
        <x:v>60</x:v>
      </x:c>
      <x:c r="H1187" s="19" t="n">
        <x:v>24</x:v>
      </x:c>
      <x:c r="I1187" s="17" t="n">
        <x:v>0.3</x:v>
      </x:c>
      <x:c r="J1187" s="19" t="n">
        <x:v>2</x:v>
      </x:c>
      <x:c r="K1187" s="19" t="n">
        <x:f>E1187*G1187</x:f>
        <x:v>60</x:v>
      </x:c>
      <x:c r="L1187" s="19" t="n">
        <x:f>K1187*I1187</x:f>
        <x:v>18</x:v>
      </x:c>
      <x:c r="M1187" s="19" t="n">
        <x:f>(E1187-F1187)*G1187*(1-I1187)</x:f>
        <x:v>42</x:v>
      </x:c>
      <x:c r="N1187" s="19" t="n">
        <x:f>(E1187-F1187)*H1187</x:f>
        <x:v>24</x:v>
      </x:c>
      <x:c r="O1187" s="19" t="n">
        <x:f>F1187*J1187</x:f>
        <x:v>0</x:v>
      </x:c>
      <x:c r="P1187" s="19" t="n">
        <x:f>M1187-N1187-O1187</x:f>
        <x:v>18</x:v>
      </x:c>
    </x:row>
    <x:row r="1188">
      <x:c r="A1188" s="15" t="str">
        <x:v>SIM-1184</x:v>
      </x:c>
      <x:c r="B1188" s="15" t="str">
        <x:v>2026-05</x:v>
      </x:c>
      <x:c r="C1188" s="15" t="str">
        <x:v>Prendas</x:v>
      </x:c>
      <x:c r="D1188" s="15" t="str">
        <x:v>Tienda</x:v>
      </x:c>
      <x:c r="E1188" s="15" t="n">
        <x:v>1</x:v>
      </x:c>
      <x:c r="F1188" s="15" t="n">
        <x:v>0</x:v>
      </x:c>
      <x:c r="G1188" s="19" t="n">
        <x:v>60</x:v>
      </x:c>
      <x:c r="H1188" s="19" t="n">
        <x:v>24</x:v>
      </x:c>
      <x:c r="I1188" s="17" t="n">
        <x:v>0</x:v>
      </x:c>
      <x:c r="J1188" s="19" t="n">
        <x:v>2</x:v>
      </x:c>
      <x:c r="K1188" s="19" t="n">
        <x:f>E1188*G1188</x:f>
        <x:v>60</x:v>
      </x:c>
      <x:c r="L1188" s="19" t="n">
        <x:f>K1188*I1188</x:f>
        <x:v>0</x:v>
      </x:c>
      <x:c r="M1188" s="19" t="n">
        <x:f>(E1188-F1188)*G1188*(1-I1188)</x:f>
        <x:v>60</x:v>
      </x:c>
      <x:c r="N1188" s="19" t="n">
        <x:f>(E1188-F1188)*H1188</x:f>
        <x:v>24</x:v>
      </x:c>
      <x:c r="O1188" s="19" t="n">
        <x:f>F1188*J1188</x:f>
        <x:v>0</x:v>
      </x:c>
      <x:c r="P1188" s="19" t="n">
        <x:f>M1188-N1188-O1188</x:f>
        <x:v>36</x:v>
      </x:c>
    </x:row>
    <x:row r="1189">
      <x:c r="A1189" s="15" t="str">
        <x:v>SIM-1185</x:v>
      </x:c>
      <x:c r="B1189" s="15" t="str">
        <x:v>2026-05</x:v>
      </x:c>
      <x:c r="C1189" s="15" t="str">
        <x:v>Accesorios</x:v>
      </x:c>
      <x:c r="D1189" s="15" t="str">
        <x:v>Online</x:v>
      </x:c>
      <x:c r="E1189" s="15" t="n">
        <x:v>1</x:v>
      </x:c>
      <x:c r="F1189" s="15" t="n">
        <x:v>0</x:v>
      </x:c>
      <x:c r="G1189" s="19" t="n">
        <x:v>30</x:v>
      </x:c>
      <x:c r="H1189" s="19" t="n">
        <x:v>9</x:v>
      </x:c>
      <x:c r="I1189" s="17" t="n">
        <x:v>0.3</x:v>
      </x:c>
      <x:c r="J1189" s="19" t="n">
        <x:v>6</x:v>
      </x:c>
      <x:c r="K1189" s="19" t="n">
        <x:f>E1189*G1189</x:f>
        <x:v>30</x:v>
      </x:c>
      <x:c r="L1189" s="19" t="n">
        <x:f>K1189*I1189</x:f>
        <x:v>9</x:v>
      </x:c>
      <x:c r="M1189" s="19" t="n">
        <x:f>(E1189-F1189)*G1189*(1-I1189)</x:f>
        <x:v>21</x:v>
      </x:c>
      <x:c r="N1189" s="19" t="n">
        <x:f>(E1189-F1189)*H1189</x:f>
        <x:v>9</x:v>
      </x:c>
      <x:c r="O1189" s="19" t="n">
        <x:f>F1189*J1189</x:f>
        <x:v>0</x:v>
      </x:c>
      <x:c r="P1189" s="19" t="n">
        <x:f>M1189-N1189-O1189</x:f>
        <x:v>12</x:v>
      </x:c>
    </x:row>
    <x:row r="1190">
      <x:c r="A1190" s="15" t="str">
        <x:v>SIM-1186</x:v>
      </x:c>
      <x:c r="B1190" s="15" t="str">
        <x:v>2026-05</x:v>
      </x:c>
      <x:c r="C1190" s="15" t="str">
        <x:v>Accesorios</x:v>
      </x:c>
      <x:c r="D1190" s="15" t="str">
        <x:v>Online</x:v>
      </x:c>
      <x:c r="E1190" s="15" t="n">
        <x:v>1</x:v>
      </x:c>
      <x:c r="F1190" s="15" t="n">
        <x:v>0</x:v>
      </x:c>
      <x:c r="G1190" s="19" t="n">
        <x:v>30</x:v>
      </x:c>
      <x:c r="H1190" s="19" t="n">
        <x:v>9</x:v>
      </x:c>
      <x:c r="I1190" s="17" t="n">
        <x:v>0</x:v>
      </x:c>
      <x:c r="J1190" s="19" t="n">
        <x:v>6</x:v>
      </x:c>
      <x:c r="K1190" s="19" t="n">
        <x:f>E1190*G1190</x:f>
        <x:v>30</x:v>
      </x:c>
      <x:c r="L1190" s="19" t="n">
        <x:f>K1190*I1190</x:f>
        <x:v>0</x:v>
      </x:c>
      <x:c r="M1190" s="19" t="n">
        <x:f>(E1190-F1190)*G1190*(1-I1190)</x:f>
        <x:v>30</x:v>
      </x:c>
      <x:c r="N1190" s="19" t="n">
        <x:f>(E1190-F1190)*H1190</x:f>
        <x:v>9</x:v>
      </x:c>
      <x:c r="O1190" s="19" t="n">
        <x:f>F1190*J1190</x:f>
        <x:v>0</x:v>
      </x:c>
      <x:c r="P1190" s="19" t="n">
        <x:f>M1190-N1190-O1190</x:f>
        <x:v>21</x:v>
      </x:c>
    </x:row>
    <x:row r="1191">
      <x:c r="A1191" s="15" t="str">
        <x:v>SIM-1187</x:v>
      </x:c>
      <x:c r="B1191" s="15" t="str">
        <x:v>2026-05</x:v>
      </x:c>
      <x:c r="C1191" s="15" t="str">
        <x:v>Accesorios</x:v>
      </x:c>
      <x:c r="D1191" s="15" t="str">
        <x:v>Online</x:v>
      </x:c>
      <x:c r="E1191" s="15" t="n">
        <x:v>1</x:v>
      </x:c>
      <x:c r="F1191" s="15" t="n">
        <x:v>0</x:v>
      </x:c>
      <x:c r="G1191" s="19" t="n">
        <x:v>30</x:v>
      </x:c>
      <x:c r="H1191" s="19" t="n">
        <x:v>9</x:v>
      </x:c>
      <x:c r="I1191" s="17" t="n">
        <x:v>0.1</x:v>
      </x:c>
      <x:c r="J1191" s="19" t="n">
        <x:v>6</x:v>
      </x:c>
      <x:c r="K1191" s="19" t="n">
        <x:f>E1191*G1191</x:f>
        <x:v>30</x:v>
      </x:c>
      <x:c r="L1191" s="19" t="n">
        <x:f>K1191*I1191</x:f>
        <x:v>3</x:v>
      </x:c>
      <x:c r="M1191" s="19" t="n">
        <x:f>(E1191-F1191)*G1191*(1-I1191)</x:f>
        <x:v>27</x:v>
      </x:c>
      <x:c r="N1191" s="19" t="n">
        <x:f>(E1191-F1191)*H1191</x:f>
        <x:v>9</x:v>
      </x:c>
      <x:c r="O1191" s="19" t="n">
        <x:f>F1191*J1191</x:f>
        <x:v>0</x:v>
      </x:c>
      <x:c r="P1191" s="19" t="n">
        <x:f>M1191-N1191-O1191</x:f>
        <x:v>18</x:v>
      </x:c>
    </x:row>
    <x:row r="1192">
      <x:c r="A1192" s="15" t="str">
        <x:v>SIM-1188</x:v>
      </x:c>
      <x:c r="B1192" s="15" t="str">
        <x:v>2026-05</x:v>
      </x:c>
      <x:c r="C1192" s="15" t="str">
        <x:v>Calzado</x:v>
      </x:c>
      <x:c r="D1192" s="15" t="str">
        <x:v>Online</x:v>
      </x:c>
      <x:c r="E1192" s="15" t="n">
        <x:v>1</x:v>
      </x:c>
      <x:c r="F1192" s="15" t="n">
        <x:v>0</x:v>
      </x:c>
      <x:c r="G1192" s="19" t="n">
        <x:v>90</x:v>
      </x:c>
      <x:c r="H1192" s="19" t="n">
        <x:v>42</x:v>
      </x:c>
      <x:c r="I1192" s="17" t="n">
        <x:v>0.1</x:v>
      </x:c>
      <x:c r="J1192" s="19" t="n">
        <x:v>6</x:v>
      </x:c>
      <x:c r="K1192" s="19" t="n">
        <x:f>E1192*G1192</x:f>
        <x:v>90</x:v>
      </x:c>
      <x:c r="L1192" s="19" t="n">
        <x:f>K1192*I1192</x:f>
        <x:v>9</x:v>
      </x:c>
      <x:c r="M1192" s="19" t="n">
        <x:f>(E1192-F1192)*G1192*(1-I1192)</x:f>
        <x:v>81</x:v>
      </x:c>
      <x:c r="N1192" s="19" t="n">
        <x:f>(E1192-F1192)*H1192</x:f>
        <x:v>42</x:v>
      </x:c>
      <x:c r="O1192" s="19" t="n">
        <x:f>F1192*J1192</x:f>
        <x:v>0</x:v>
      </x:c>
      <x:c r="P1192" s="19" t="n">
        <x:f>M1192-N1192-O1192</x:f>
        <x:v>39</x:v>
      </x:c>
    </x:row>
    <x:row r="1193">
      <x:c r="A1193" s="15" t="str">
        <x:v>SIM-1189</x:v>
      </x:c>
      <x:c r="B1193" s="15" t="str">
        <x:v>2026-05</x:v>
      </x:c>
      <x:c r="C1193" s="15" t="str">
        <x:v>Prendas</x:v>
      </x:c>
      <x:c r="D1193" s="15" t="str">
        <x:v>Tienda</x:v>
      </x:c>
      <x:c r="E1193" s="15" t="n">
        <x:v>2</x:v>
      </x:c>
      <x:c r="F1193" s="15" t="n">
        <x:v>0</x:v>
      </x:c>
      <x:c r="G1193" s="19" t="n">
        <x:v>60</x:v>
      </x:c>
      <x:c r="H1193" s="19" t="n">
        <x:v>24</x:v>
      </x:c>
      <x:c r="I1193" s="17" t="n">
        <x:v>0.3</x:v>
      </x:c>
      <x:c r="J1193" s="19" t="n">
        <x:v>2</x:v>
      </x:c>
      <x:c r="K1193" s="19" t="n">
        <x:f>E1193*G1193</x:f>
        <x:v>120</x:v>
      </x:c>
      <x:c r="L1193" s="19" t="n">
        <x:f>K1193*I1193</x:f>
        <x:v>36</x:v>
      </x:c>
      <x:c r="M1193" s="19" t="n">
        <x:f>(E1193-F1193)*G1193*(1-I1193)</x:f>
        <x:v>84</x:v>
      </x:c>
      <x:c r="N1193" s="19" t="n">
        <x:f>(E1193-F1193)*H1193</x:f>
        <x:v>48</x:v>
      </x:c>
      <x:c r="O1193" s="19" t="n">
        <x:f>F1193*J1193</x:f>
        <x:v>0</x:v>
      </x:c>
      <x:c r="P1193" s="19" t="n">
        <x:f>M1193-N1193-O1193</x:f>
        <x:v>36</x:v>
      </x:c>
    </x:row>
    <x:row r="1194">
      <x:c r="A1194" s="15" t="str">
        <x:v>SIM-1190</x:v>
      </x:c>
      <x:c r="B1194" s="15" t="str">
        <x:v>2026-05</x:v>
      </x:c>
      <x:c r="C1194" s="15" t="str">
        <x:v>Prendas</x:v>
      </x:c>
      <x:c r="D1194" s="15" t="str">
        <x:v>Tienda</x:v>
      </x:c>
      <x:c r="E1194" s="15" t="n">
        <x:v>1</x:v>
      </x:c>
      <x:c r="F1194" s="15" t="n">
        <x:v>0</x:v>
      </x:c>
      <x:c r="G1194" s="19" t="n">
        <x:v>60</x:v>
      </x:c>
      <x:c r="H1194" s="19" t="n">
        <x:v>24</x:v>
      </x:c>
      <x:c r="I1194" s="17" t="n">
        <x:v>0.2</x:v>
      </x:c>
      <x:c r="J1194" s="19" t="n">
        <x:v>2</x:v>
      </x:c>
      <x:c r="K1194" s="19" t="n">
        <x:f>E1194*G1194</x:f>
        <x:v>60</x:v>
      </x:c>
      <x:c r="L1194" s="19" t="n">
        <x:f>K1194*I1194</x:f>
        <x:v>12</x:v>
      </x:c>
      <x:c r="M1194" s="19" t="n">
        <x:f>(E1194-F1194)*G1194*(1-I1194)</x:f>
        <x:v>48</x:v>
      </x:c>
      <x:c r="N1194" s="19" t="n">
        <x:f>(E1194-F1194)*H1194</x:f>
        <x:v>24</x:v>
      </x:c>
      <x:c r="O1194" s="19" t="n">
        <x:f>F1194*J1194</x:f>
        <x:v>0</x:v>
      </x:c>
      <x:c r="P1194" s="19" t="n">
        <x:f>M1194-N1194-O1194</x:f>
        <x:v>24</x:v>
      </x:c>
    </x:row>
    <x:row r="1195">
      <x:c r="A1195" s="15" t="str">
        <x:v>SIM-1191</x:v>
      </x:c>
      <x:c r="B1195" s="15" t="str">
        <x:v>2026-05</x:v>
      </x:c>
      <x:c r="C1195" s="15" t="str">
        <x:v>Calzado</x:v>
      </x:c>
      <x:c r="D1195" s="15" t="str">
        <x:v>Online</x:v>
      </x:c>
      <x:c r="E1195" s="15" t="n">
        <x:v>1</x:v>
      </x:c>
      <x:c r="F1195" s="15" t="n">
        <x:v>0</x:v>
      </x:c>
      <x:c r="G1195" s="19" t="n">
        <x:v>90</x:v>
      </x:c>
      <x:c r="H1195" s="19" t="n">
        <x:v>42</x:v>
      </x:c>
      <x:c r="I1195" s="17" t="n">
        <x:v>0.1</x:v>
      </x:c>
      <x:c r="J1195" s="19" t="n">
        <x:v>6</x:v>
      </x:c>
      <x:c r="K1195" s="19" t="n">
        <x:f>E1195*G1195</x:f>
        <x:v>90</x:v>
      </x:c>
      <x:c r="L1195" s="19" t="n">
        <x:f>K1195*I1195</x:f>
        <x:v>9</x:v>
      </x:c>
      <x:c r="M1195" s="19" t="n">
        <x:f>(E1195-F1195)*G1195*(1-I1195)</x:f>
        <x:v>81</x:v>
      </x:c>
      <x:c r="N1195" s="19" t="n">
        <x:f>(E1195-F1195)*H1195</x:f>
        <x:v>42</x:v>
      </x:c>
      <x:c r="O1195" s="19" t="n">
        <x:f>F1195*J1195</x:f>
        <x:v>0</x:v>
      </x:c>
      <x:c r="P1195" s="19" t="n">
        <x:f>M1195-N1195-O1195</x:f>
        <x:v>39</x:v>
      </x:c>
    </x:row>
    <x:row r="1196">
      <x:c r="A1196" s="15" t="str">
        <x:v>SIM-1192</x:v>
      </x:c>
      <x:c r="B1196" s="15" t="str">
        <x:v>2026-05</x:v>
      </x:c>
      <x:c r="C1196" s="15" t="str">
        <x:v>Calzado</x:v>
      </x:c>
      <x:c r="D1196" s="15" t="str">
        <x:v>Tienda</x:v>
      </x:c>
      <x:c r="E1196" s="15" t="n">
        <x:v>3</x:v>
      </x:c>
      <x:c r="F1196" s="15" t="n">
        <x:v>0</x:v>
      </x:c>
      <x:c r="G1196" s="19" t="n">
        <x:v>90</x:v>
      </x:c>
      <x:c r="H1196" s="19" t="n">
        <x:v>42</x:v>
      </x:c>
      <x:c r="I1196" s="17" t="n">
        <x:v>0.2</x:v>
      </x:c>
      <x:c r="J1196" s="19" t="n">
        <x:v>2</x:v>
      </x:c>
      <x:c r="K1196" s="19" t="n">
        <x:f>E1196*G1196</x:f>
        <x:v>270</x:v>
      </x:c>
      <x:c r="L1196" s="19" t="n">
        <x:f>K1196*I1196</x:f>
        <x:v>54</x:v>
      </x:c>
      <x:c r="M1196" s="19" t="n">
        <x:f>(E1196-F1196)*G1196*(1-I1196)</x:f>
        <x:v>216</x:v>
      </x:c>
      <x:c r="N1196" s="19" t="n">
        <x:f>(E1196-F1196)*H1196</x:f>
        <x:v>126</x:v>
      </x:c>
      <x:c r="O1196" s="19" t="n">
        <x:f>F1196*J1196</x:f>
        <x:v>0</x:v>
      </x:c>
      <x:c r="P1196" s="19" t="n">
        <x:f>M1196-N1196-O1196</x:f>
        <x:v>90</x:v>
      </x:c>
    </x:row>
    <x:row r="1197">
      <x:c r="A1197" s="15" t="str">
        <x:v>SIM-1193</x:v>
      </x:c>
      <x:c r="B1197" s="15" t="str">
        <x:v>2026-05</x:v>
      </x:c>
      <x:c r="C1197" s="15" t="str">
        <x:v>Calzado</x:v>
      </x:c>
      <x:c r="D1197" s="15" t="str">
        <x:v>Online</x:v>
      </x:c>
      <x:c r="E1197" s="15" t="n">
        <x:v>1</x:v>
      </x:c>
      <x:c r="F1197" s="15" t="n">
        <x:v>0</x:v>
      </x:c>
      <x:c r="G1197" s="19" t="n">
        <x:v>90</x:v>
      </x:c>
      <x:c r="H1197" s="19" t="n">
        <x:v>42</x:v>
      </x:c>
      <x:c r="I1197" s="17" t="n">
        <x:v>0.1</x:v>
      </x:c>
      <x:c r="J1197" s="19" t="n">
        <x:v>6</x:v>
      </x:c>
      <x:c r="K1197" s="19" t="n">
        <x:f>E1197*G1197</x:f>
        <x:v>90</x:v>
      </x:c>
      <x:c r="L1197" s="19" t="n">
        <x:f>K1197*I1197</x:f>
        <x:v>9</x:v>
      </x:c>
      <x:c r="M1197" s="19" t="n">
        <x:f>(E1197-F1197)*G1197*(1-I1197)</x:f>
        <x:v>81</x:v>
      </x:c>
      <x:c r="N1197" s="19" t="n">
        <x:f>(E1197-F1197)*H1197</x:f>
        <x:v>42</x:v>
      </x:c>
      <x:c r="O1197" s="19" t="n">
        <x:f>F1197*J1197</x:f>
        <x:v>0</x:v>
      </x:c>
      <x:c r="P1197" s="19" t="n">
        <x:f>M1197-N1197-O1197</x:f>
        <x:v>39</x:v>
      </x:c>
    </x:row>
    <x:row r="1198">
      <x:c r="A1198" s="15" t="str">
        <x:v>SIM-1194</x:v>
      </x:c>
      <x:c r="B1198" s="15" t="str">
        <x:v>2026-05</x:v>
      </x:c>
      <x:c r="C1198" s="15" t="str">
        <x:v>Prendas</x:v>
      </x:c>
      <x:c r="D1198" s="15" t="str">
        <x:v>Online</x:v>
      </x:c>
      <x:c r="E1198" s="15" t="n">
        <x:v>3</x:v>
      </x:c>
      <x:c r="F1198" s="15" t="n">
        <x:v>1</x:v>
      </x:c>
      <x:c r="G1198" s="19" t="n">
        <x:v>60</x:v>
      </x:c>
      <x:c r="H1198" s="19" t="n">
        <x:v>24</x:v>
      </x:c>
      <x:c r="I1198" s="17" t="n">
        <x:v>0.3</x:v>
      </x:c>
      <x:c r="J1198" s="19" t="n">
        <x:v>6</x:v>
      </x:c>
      <x:c r="K1198" s="19" t="n">
        <x:f>E1198*G1198</x:f>
        <x:v>180</x:v>
      </x:c>
      <x:c r="L1198" s="19" t="n">
        <x:f>K1198*I1198</x:f>
        <x:v>54</x:v>
      </x:c>
      <x:c r="M1198" s="19" t="n">
        <x:f>(E1198-F1198)*G1198*(1-I1198)</x:f>
        <x:v>84</x:v>
      </x:c>
      <x:c r="N1198" s="19" t="n">
        <x:f>(E1198-F1198)*H1198</x:f>
        <x:v>48</x:v>
      </x:c>
      <x:c r="O1198" s="19" t="n">
        <x:f>F1198*J1198</x:f>
        <x:v>6</x:v>
      </x:c>
      <x:c r="P1198" s="19" t="n">
        <x:f>M1198-N1198-O1198</x:f>
        <x:v>30</x:v>
      </x:c>
    </x:row>
    <x:row r="1199">
      <x:c r="A1199" s="15" t="str">
        <x:v>SIM-1195</x:v>
      </x:c>
      <x:c r="B1199" s="15" t="str">
        <x:v>2026-05</x:v>
      </x:c>
      <x:c r="C1199" s="15" t="str">
        <x:v>Prendas</x:v>
      </x:c>
      <x:c r="D1199" s="15" t="str">
        <x:v>Tienda</x:v>
      </x:c>
      <x:c r="E1199" s="15" t="n">
        <x:v>1</x:v>
      </x:c>
      <x:c r="F1199" s="15" t="n">
        <x:v>0</x:v>
      </x:c>
      <x:c r="G1199" s="19" t="n">
        <x:v>60</x:v>
      </x:c>
      <x:c r="H1199" s="19" t="n">
        <x:v>24</x:v>
      </x:c>
      <x:c r="I1199" s="17" t="n">
        <x:v>0</x:v>
      </x:c>
      <x:c r="J1199" s="19" t="n">
        <x:v>2</x:v>
      </x:c>
      <x:c r="K1199" s="19" t="n">
        <x:f>E1199*G1199</x:f>
        <x:v>60</x:v>
      </x:c>
      <x:c r="L1199" s="19" t="n">
        <x:f>K1199*I1199</x:f>
        <x:v>0</x:v>
      </x:c>
      <x:c r="M1199" s="19" t="n">
        <x:f>(E1199-F1199)*G1199*(1-I1199)</x:f>
        <x:v>60</x:v>
      </x:c>
      <x:c r="N1199" s="19" t="n">
        <x:f>(E1199-F1199)*H1199</x:f>
        <x:v>24</x:v>
      </x:c>
      <x:c r="O1199" s="19" t="n">
        <x:f>F1199*J1199</x:f>
        <x:v>0</x:v>
      </x:c>
      <x:c r="P1199" s="19" t="n">
        <x:f>M1199-N1199-O1199</x:f>
        <x:v>36</x:v>
      </x:c>
    </x:row>
    <x:row r="1200">
      <x:c r="A1200" s="15" t="str">
        <x:v>SIM-1196</x:v>
      </x:c>
      <x:c r="B1200" s="15" t="str">
        <x:v>2026-05</x:v>
      </x:c>
      <x:c r="C1200" s="15" t="str">
        <x:v>Calzado</x:v>
      </x:c>
      <x:c r="D1200" s="15" t="str">
        <x:v>Tienda</x:v>
      </x:c>
      <x:c r="E1200" s="15" t="n">
        <x:v>3</x:v>
      </x:c>
      <x:c r="F1200" s="15" t="n">
        <x:v>1</x:v>
      </x:c>
      <x:c r="G1200" s="19" t="n">
        <x:v>90</x:v>
      </x:c>
      <x:c r="H1200" s="19" t="n">
        <x:v>42</x:v>
      </x:c>
      <x:c r="I1200" s="17" t="n">
        <x:v>0</x:v>
      </x:c>
      <x:c r="J1200" s="19" t="n">
        <x:v>2</x:v>
      </x:c>
      <x:c r="K1200" s="19" t="n">
        <x:f>E1200*G1200</x:f>
        <x:v>270</x:v>
      </x:c>
      <x:c r="L1200" s="19" t="n">
        <x:f>K1200*I1200</x:f>
        <x:v>0</x:v>
      </x:c>
      <x:c r="M1200" s="19" t="n">
        <x:f>(E1200-F1200)*G1200*(1-I1200)</x:f>
        <x:v>180</x:v>
      </x:c>
      <x:c r="N1200" s="19" t="n">
        <x:f>(E1200-F1200)*H1200</x:f>
        <x:v>84</x:v>
      </x:c>
      <x:c r="O1200" s="19" t="n">
        <x:f>F1200*J1200</x:f>
        <x:v>2</x:v>
      </x:c>
      <x:c r="P1200" s="19" t="n">
        <x:f>M1200-N1200-O1200</x:f>
        <x:v>94</x:v>
      </x:c>
    </x:row>
    <x:row r="1201">
      <x:c r="A1201" s="15" t="str">
        <x:v>SIM-1197</x:v>
      </x:c>
      <x:c r="B1201" s="15" t="str">
        <x:v>2026-05</x:v>
      </x:c>
      <x:c r="C1201" s="15" t="str">
        <x:v>Prendas</x:v>
      </x:c>
      <x:c r="D1201" s="15" t="str">
        <x:v>Online</x:v>
      </x:c>
      <x:c r="E1201" s="15" t="n">
        <x:v>1</x:v>
      </x:c>
      <x:c r="F1201" s="15" t="n">
        <x:v>0</x:v>
      </x:c>
      <x:c r="G1201" s="19" t="n">
        <x:v>60</x:v>
      </x:c>
      <x:c r="H1201" s="19" t="n">
        <x:v>24</x:v>
      </x:c>
      <x:c r="I1201" s="17" t="n">
        <x:v>0.1</x:v>
      </x:c>
      <x:c r="J1201" s="19" t="n">
        <x:v>6</x:v>
      </x:c>
      <x:c r="K1201" s="19" t="n">
        <x:f>E1201*G1201</x:f>
        <x:v>60</x:v>
      </x:c>
      <x:c r="L1201" s="19" t="n">
        <x:f>K1201*I1201</x:f>
        <x:v>6</x:v>
      </x:c>
      <x:c r="M1201" s="19" t="n">
        <x:f>(E1201-F1201)*G1201*(1-I1201)</x:f>
        <x:v>54</x:v>
      </x:c>
      <x:c r="N1201" s="19" t="n">
        <x:f>(E1201-F1201)*H1201</x:f>
        <x:v>24</x:v>
      </x:c>
      <x:c r="O1201" s="19" t="n">
        <x:f>F1201*J1201</x:f>
        <x:v>0</x:v>
      </x:c>
      <x:c r="P1201" s="19" t="n">
        <x:f>M1201-N1201-O1201</x:f>
        <x:v>30</x:v>
      </x:c>
    </x:row>
    <x:row r="1202">
      <x:c r="A1202" s="15" t="str">
        <x:v>SIM-1198</x:v>
      </x:c>
      <x:c r="B1202" s="15" t="str">
        <x:v>2026-05</x:v>
      </x:c>
      <x:c r="C1202" s="15" t="str">
        <x:v>Accesorios</x:v>
      </x:c>
      <x:c r="D1202" s="15" t="str">
        <x:v>Online</x:v>
      </x:c>
      <x:c r="E1202" s="15" t="n">
        <x:v>1</x:v>
      </x:c>
      <x:c r="F1202" s="15" t="n">
        <x:v>0</x:v>
      </x:c>
      <x:c r="G1202" s="19" t="n">
        <x:v>30</x:v>
      </x:c>
      <x:c r="H1202" s="19" t="n">
        <x:v>9</x:v>
      </x:c>
      <x:c r="I1202" s="17" t="n">
        <x:v>0</x:v>
      </x:c>
      <x:c r="J1202" s="19" t="n">
        <x:v>6</x:v>
      </x:c>
      <x:c r="K1202" s="19" t="n">
        <x:f>E1202*G1202</x:f>
        <x:v>30</x:v>
      </x:c>
      <x:c r="L1202" s="19" t="n">
        <x:f>K1202*I1202</x:f>
        <x:v>0</x:v>
      </x:c>
      <x:c r="M1202" s="19" t="n">
        <x:f>(E1202-F1202)*G1202*(1-I1202)</x:f>
        <x:v>30</x:v>
      </x:c>
      <x:c r="N1202" s="19" t="n">
        <x:f>(E1202-F1202)*H1202</x:f>
        <x:v>9</x:v>
      </x:c>
      <x:c r="O1202" s="19" t="n">
        <x:f>F1202*J1202</x:f>
        <x:v>0</x:v>
      </x:c>
      <x:c r="P1202" s="19" t="n">
        <x:f>M1202-N1202-O1202</x:f>
        <x:v>21</x:v>
      </x:c>
    </x:row>
    <x:row r="1203">
      <x:c r="A1203" s="15" t="str">
        <x:v>SIM-1199</x:v>
      </x:c>
      <x:c r="B1203" s="15" t="str">
        <x:v>2026-05</x:v>
      </x:c>
      <x:c r="C1203" s="15" t="str">
        <x:v>Prendas</x:v>
      </x:c>
      <x:c r="D1203" s="15" t="str">
        <x:v>Online</x:v>
      </x:c>
      <x:c r="E1203" s="15" t="n">
        <x:v>1</x:v>
      </x:c>
      <x:c r="F1203" s="15" t="n">
        <x:v>0</x:v>
      </x:c>
      <x:c r="G1203" s="19" t="n">
        <x:v>60</x:v>
      </x:c>
      <x:c r="H1203" s="19" t="n">
        <x:v>24</x:v>
      </x:c>
      <x:c r="I1203" s="17" t="n">
        <x:v>0.3</x:v>
      </x:c>
      <x:c r="J1203" s="19" t="n">
        <x:v>6</x:v>
      </x:c>
      <x:c r="K1203" s="19" t="n">
        <x:f>E1203*G1203</x:f>
        <x:v>60</x:v>
      </x:c>
      <x:c r="L1203" s="19" t="n">
        <x:f>K1203*I1203</x:f>
        <x:v>18</x:v>
      </x:c>
      <x:c r="M1203" s="19" t="n">
        <x:f>(E1203-F1203)*G1203*(1-I1203)</x:f>
        <x:v>42</x:v>
      </x:c>
      <x:c r="N1203" s="19" t="n">
        <x:f>(E1203-F1203)*H1203</x:f>
        <x:v>24</x:v>
      </x:c>
      <x:c r="O1203" s="19" t="n">
        <x:f>F1203*J1203</x:f>
        <x:v>0</x:v>
      </x:c>
      <x:c r="P1203" s="19" t="n">
        <x:f>M1203-N1203-O1203</x:f>
        <x:v>18</x:v>
      </x:c>
    </x:row>
    <x:row r="1204">
      <x:c r="A1204" s="15" t="str">
        <x:v>SIM-1200</x:v>
      </x:c>
      <x:c r="B1204" s="15" t="str">
        <x:v>2026-05</x:v>
      </x:c>
      <x:c r="C1204" s="15" t="str">
        <x:v>Prendas</x:v>
      </x:c>
      <x:c r="D1204" s="15" t="str">
        <x:v>Online</x:v>
      </x:c>
      <x:c r="E1204" s="15" t="n">
        <x:v>3</x:v>
      </x:c>
      <x:c r="F1204" s="15" t="n">
        <x:v>0</x:v>
      </x:c>
      <x:c r="G1204" s="19" t="n">
        <x:v>60</x:v>
      </x:c>
      <x:c r="H1204" s="19" t="n">
        <x:v>24</x:v>
      </x:c>
      <x:c r="I1204" s="17" t="n">
        <x:v>0</x:v>
      </x:c>
      <x:c r="J1204" s="19" t="n">
        <x:v>6</x:v>
      </x:c>
      <x:c r="K1204" s="19" t="n">
        <x:f>E1204*G1204</x:f>
        <x:v>180</x:v>
      </x:c>
      <x:c r="L1204" s="19" t="n">
        <x:f>K1204*I1204</x:f>
        <x:v>0</x:v>
      </x:c>
      <x:c r="M1204" s="19" t="n">
        <x:f>(E1204-F1204)*G1204*(1-I1204)</x:f>
        <x:v>180</x:v>
      </x:c>
      <x:c r="N1204" s="19" t="n">
        <x:f>(E1204-F1204)*H1204</x:f>
        <x:v>72</x:v>
      </x:c>
      <x:c r="O1204" s="19" t="n">
        <x:f>F1204*J1204</x:f>
        <x:v>0</x:v>
      </x:c>
      <x:c r="P1204" s="19" t="n">
        <x:f>M1204-N1204-O1204</x:f>
        <x:v>108</x:v>
      </x:c>
    </x:row>
    <x:row r="1205">
      <x:c r="A1205" s="15" t="str">
        <x:v>SIM-1201</x:v>
      </x:c>
      <x:c r="B1205" s="15" t="str">
        <x:v>2026-06</x:v>
      </x:c>
      <x:c r="C1205" s="15" t="str">
        <x:v>Prendas</x:v>
      </x:c>
      <x:c r="D1205" s="15" t="str">
        <x:v>Online</x:v>
      </x:c>
      <x:c r="E1205" s="15" t="n">
        <x:v>1</x:v>
      </x:c>
      <x:c r="F1205" s="15" t="n">
        <x:v>0</x:v>
      </x:c>
      <x:c r="G1205" s="19" t="n">
        <x:v>60</x:v>
      </x:c>
      <x:c r="H1205" s="19" t="n">
        <x:v>24</x:v>
      </x:c>
      <x:c r="I1205" s="17" t="n">
        <x:v>0</x:v>
      </x:c>
      <x:c r="J1205" s="19" t="n">
        <x:v>6</x:v>
      </x:c>
      <x:c r="K1205" s="19" t="n">
        <x:f>E1205*G1205</x:f>
        <x:v>60</x:v>
      </x:c>
      <x:c r="L1205" s="19" t="n">
        <x:f>K1205*I1205</x:f>
        <x:v>0</x:v>
      </x:c>
      <x:c r="M1205" s="19" t="n">
        <x:f>(E1205-F1205)*G1205*(1-I1205)</x:f>
        <x:v>60</x:v>
      </x:c>
      <x:c r="N1205" s="19" t="n">
        <x:f>(E1205-F1205)*H1205</x:f>
        <x:v>24</x:v>
      </x:c>
      <x:c r="O1205" s="19" t="n">
        <x:f>F1205*J1205</x:f>
        <x:v>0</x:v>
      </x:c>
      <x:c r="P1205" s="19" t="n">
        <x:f>M1205-N1205-O1205</x:f>
        <x:v>36</x:v>
      </x:c>
    </x:row>
    <x:row r="1206">
      <x:c r="A1206" s="15" t="str">
        <x:v>SIM-1202</x:v>
      </x:c>
      <x:c r="B1206" s="15" t="str">
        <x:v>2026-06</x:v>
      </x:c>
      <x:c r="C1206" s="15" t="str">
        <x:v>Accesorios</x:v>
      </x:c>
      <x:c r="D1206" s="15" t="str">
        <x:v>Tienda</x:v>
      </x:c>
      <x:c r="E1206" s="15" t="n">
        <x:v>2</x:v>
      </x:c>
      <x:c r="F1206" s="15" t="n">
        <x:v>0</x:v>
      </x:c>
      <x:c r="G1206" s="19" t="n">
        <x:v>30</x:v>
      </x:c>
      <x:c r="H1206" s="19" t="n">
        <x:v>9</x:v>
      </x:c>
      <x:c r="I1206" s="17" t="n">
        <x:v>0.1</x:v>
      </x:c>
      <x:c r="J1206" s="19" t="n">
        <x:v>2</x:v>
      </x:c>
      <x:c r="K1206" s="19" t="n">
        <x:f>E1206*G1206</x:f>
        <x:v>60</x:v>
      </x:c>
      <x:c r="L1206" s="19" t="n">
        <x:f>K1206*I1206</x:f>
        <x:v>6</x:v>
      </x:c>
      <x:c r="M1206" s="19" t="n">
        <x:f>(E1206-F1206)*G1206*(1-I1206)</x:f>
        <x:v>54</x:v>
      </x:c>
      <x:c r="N1206" s="19" t="n">
        <x:f>(E1206-F1206)*H1206</x:f>
        <x:v>18</x:v>
      </x:c>
      <x:c r="O1206" s="19" t="n">
        <x:f>F1206*J1206</x:f>
        <x:v>0</x:v>
      </x:c>
      <x:c r="P1206" s="19" t="n">
        <x:f>M1206-N1206-O1206</x:f>
        <x:v>36</x:v>
      </x:c>
    </x:row>
    <x:row r="1207">
      <x:c r="A1207" s="15" t="str">
        <x:v>SIM-1203</x:v>
      </x:c>
      <x:c r="B1207" s="15" t="str">
        <x:v>2026-06</x:v>
      </x:c>
      <x:c r="C1207" s="15" t="str">
        <x:v>Prendas</x:v>
      </x:c>
      <x:c r="D1207" s="15" t="str">
        <x:v>Online</x:v>
      </x:c>
      <x:c r="E1207" s="15" t="n">
        <x:v>1</x:v>
      </x:c>
      <x:c r="F1207" s="15" t="n">
        <x:v>1</x:v>
      </x:c>
      <x:c r="G1207" s="19" t="n">
        <x:v>60</x:v>
      </x:c>
      <x:c r="H1207" s="19" t="n">
        <x:v>24</x:v>
      </x:c>
      <x:c r="I1207" s="17" t="n">
        <x:v>0.1</x:v>
      </x:c>
      <x:c r="J1207" s="19" t="n">
        <x:v>6</x:v>
      </x:c>
      <x:c r="K1207" s="19" t="n">
        <x:f>E1207*G1207</x:f>
        <x:v>60</x:v>
      </x:c>
      <x:c r="L1207" s="19" t="n">
        <x:f>K1207*I1207</x:f>
        <x:v>6</x:v>
      </x:c>
      <x:c r="M1207" s="19" t="n">
        <x:f>(E1207-F1207)*G1207*(1-I1207)</x:f>
        <x:v>0</x:v>
      </x:c>
      <x:c r="N1207" s="19" t="n">
        <x:f>(E1207-F1207)*H1207</x:f>
        <x:v>0</x:v>
      </x:c>
      <x:c r="O1207" s="19" t="n">
        <x:f>F1207*J1207</x:f>
        <x:v>6</x:v>
      </x:c>
      <x:c r="P1207" s="19" t="n">
        <x:f>M1207-N1207-O1207</x:f>
        <x:v>-6</x:v>
      </x:c>
    </x:row>
    <x:row r="1208">
      <x:c r="A1208" s="15" t="str">
        <x:v>SIM-1204</x:v>
      </x:c>
      <x:c r="B1208" s="15" t="str">
        <x:v>2026-06</x:v>
      </x:c>
      <x:c r="C1208" s="15" t="str">
        <x:v>Accesorios</x:v>
      </x:c>
      <x:c r="D1208" s="15" t="str">
        <x:v>Tienda</x:v>
      </x:c>
      <x:c r="E1208" s="15" t="n">
        <x:v>1</x:v>
      </x:c>
      <x:c r="F1208" s="15" t="n">
        <x:v>0</x:v>
      </x:c>
      <x:c r="G1208" s="19" t="n">
        <x:v>30</x:v>
      </x:c>
      <x:c r="H1208" s="19" t="n">
        <x:v>9</x:v>
      </x:c>
      <x:c r="I1208" s="17" t="n">
        <x:v>0</x:v>
      </x:c>
      <x:c r="J1208" s="19" t="n">
        <x:v>2</x:v>
      </x:c>
      <x:c r="K1208" s="19" t="n">
        <x:f>E1208*G1208</x:f>
        <x:v>30</x:v>
      </x:c>
      <x:c r="L1208" s="19" t="n">
        <x:f>K1208*I1208</x:f>
        <x:v>0</x:v>
      </x:c>
      <x:c r="M1208" s="19" t="n">
        <x:f>(E1208-F1208)*G1208*(1-I1208)</x:f>
        <x:v>30</x:v>
      </x:c>
      <x:c r="N1208" s="19" t="n">
        <x:f>(E1208-F1208)*H1208</x:f>
        <x:v>9</x:v>
      </x:c>
      <x:c r="O1208" s="19" t="n">
        <x:f>F1208*J1208</x:f>
        <x:v>0</x:v>
      </x:c>
      <x:c r="P1208" s="19" t="n">
        <x:f>M1208-N1208-O1208</x:f>
        <x:v>21</x:v>
      </x:c>
    </x:row>
    <x:row r="1209">
      <x:c r="A1209" s="15" t="str">
        <x:v>SIM-1205</x:v>
      </x:c>
      <x:c r="B1209" s="15" t="str">
        <x:v>2026-06</x:v>
      </x:c>
      <x:c r="C1209" s="15" t="str">
        <x:v>Prendas</x:v>
      </x:c>
      <x:c r="D1209" s="15" t="str">
        <x:v>Online</x:v>
      </x:c>
      <x:c r="E1209" s="15" t="n">
        <x:v>1</x:v>
      </x:c>
      <x:c r="F1209" s="15" t="n">
        <x:v>1</x:v>
      </x:c>
      <x:c r="G1209" s="19" t="n">
        <x:v>60</x:v>
      </x:c>
      <x:c r="H1209" s="19" t="n">
        <x:v>24</x:v>
      </x:c>
      <x:c r="I1209" s="17" t="n">
        <x:v>0.3</x:v>
      </x:c>
      <x:c r="J1209" s="19" t="n">
        <x:v>6</x:v>
      </x:c>
      <x:c r="K1209" s="19" t="n">
        <x:f>E1209*G1209</x:f>
        <x:v>60</x:v>
      </x:c>
      <x:c r="L1209" s="19" t="n">
        <x:f>K1209*I1209</x:f>
        <x:v>18</x:v>
      </x:c>
      <x:c r="M1209" s="19" t="n">
        <x:f>(E1209-F1209)*G1209*(1-I1209)</x:f>
        <x:v>0</x:v>
      </x:c>
      <x:c r="N1209" s="19" t="n">
        <x:f>(E1209-F1209)*H1209</x:f>
        <x:v>0</x:v>
      </x:c>
      <x:c r="O1209" s="19" t="n">
        <x:f>F1209*J1209</x:f>
        <x:v>6</x:v>
      </x:c>
      <x:c r="P1209" s="19" t="n">
        <x:f>M1209-N1209-O1209</x:f>
        <x:v>-6</x:v>
      </x:c>
    </x:row>
    <x:row r="1210">
      <x:c r="A1210" s="15" t="str">
        <x:v>SIM-1206</x:v>
      </x:c>
      <x:c r="B1210" s="15" t="str">
        <x:v>2026-06</x:v>
      </x:c>
      <x:c r="C1210" s="15" t="str">
        <x:v>Calzado</x:v>
      </x:c>
      <x:c r="D1210" s="15" t="str">
        <x:v>Online</x:v>
      </x:c>
      <x:c r="E1210" s="15" t="n">
        <x:v>1</x:v>
      </x:c>
      <x:c r="F1210" s="15" t="n">
        <x:v>1</x:v>
      </x:c>
      <x:c r="G1210" s="19" t="n">
        <x:v>90</x:v>
      </x:c>
      <x:c r="H1210" s="19" t="n">
        <x:v>42</x:v>
      </x:c>
      <x:c r="I1210" s="17" t="n">
        <x:v>0.2</x:v>
      </x:c>
      <x:c r="J1210" s="19" t="n">
        <x:v>6</x:v>
      </x:c>
      <x:c r="K1210" s="19" t="n">
        <x:f>E1210*G1210</x:f>
        <x:v>90</x:v>
      </x:c>
      <x:c r="L1210" s="19" t="n">
        <x:f>K1210*I1210</x:f>
        <x:v>18</x:v>
      </x:c>
      <x:c r="M1210" s="19" t="n">
        <x:f>(E1210-F1210)*G1210*(1-I1210)</x:f>
        <x:v>0</x:v>
      </x:c>
      <x:c r="N1210" s="19" t="n">
        <x:f>(E1210-F1210)*H1210</x:f>
        <x:v>0</x:v>
      </x:c>
      <x:c r="O1210" s="19" t="n">
        <x:f>F1210*J1210</x:f>
        <x:v>6</x:v>
      </x:c>
      <x:c r="P1210" s="19" t="n">
        <x:f>M1210-N1210-O1210</x:f>
        <x:v>-6</x:v>
      </x:c>
    </x:row>
    <x:row r="1211">
      <x:c r="A1211" s="15" t="str">
        <x:v>SIM-1207</x:v>
      </x:c>
      <x:c r="B1211" s="15" t="str">
        <x:v>2026-06</x:v>
      </x:c>
      <x:c r="C1211" s="15" t="str">
        <x:v>Calzado</x:v>
      </x:c>
      <x:c r="D1211" s="15" t="str">
        <x:v>Online</x:v>
      </x:c>
      <x:c r="E1211" s="15" t="n">
        <x:v>1</x:v>
      </x:c>
      <x:c r="F1211" s="15" t="n">
        <x:v>0</x:v>
      </x:c>
      <x:c r="G1211" s="19" t="n">
        <x:v>90</x:v>
      </x:c>
      <x:c r="H1211" s="19" t="n">
        <x:v>42</x:v>
      </x:c>
      <x:c r="I1211" s="17" t="n">
        <x:v>0.1</x:v>
      </x:c>
      <x:c r="J1211" s="19" t="n">
        <x:v>6</x:v>
      </x:c>
      <x:c r="K1211" s="19" t="n">
        <x:f>E1211*G1211</x:f>
        <x:v>90</x:v>
      </x:c>
      <x:c r="L1211" s="19" t="n">
        <x:f>K1211*I1211</x:f>
        <x:v>9</x:v>
      </x:c>
      <x:c r="M1211" s="19" t="n">
        <x:f>(E1211-F1211)*G1211*(1-I1211)</x:f>
        <x:v>81</x:v>
      </x:c>
      <x:c r="N1211" s="19" t="n">
        <x:f>(E1211-F1211)*H1211</x:f>
        <x:v>42</x:v>
      </x:c>
      <x:c r="O1211" s="19" t="n">
        <x:f>F1211*J1211</x:f>
        <x:v>0</x:v>
      </x:c>
      <x:c r="P1211" s="19" t="n">
        <x:f>M1211-N1211-O1211</x:f>
        <x:v>39</x:v>
      </x:c>
    </x:row>
    <x:row r="1212">
      <x:c r="A1212" s="15" t="str">
        <x:v>SIM-1208</x:v>
      </x:c>
      <x:c r="B1212" s="15" t="str">
        <x:v>2026-06</x:v>
      </x:c>
      <x:c r="C1212" s="15" t="str">
        <x:v>Prendas</x:v>
      </x:c>
      <x:c r="D1212" s="15" t="str">
        <x:v>Online</x:v>
      </x:c>
      <x:c r="E1212" s="15" t="n">
        <x:v>1</x:v>
      </x:c>
      <x:c r="F1212" s="15" t="n">
        <x:v>0</x:v>
      </x:c>
      <x:c r="G1212" s="19" t="n">
        <x:v>60</x:v>
      </x:c>
      <x:c r="H1212" s="19" t="n">
        <x:v>24</x:v>
      </x:c>
      <x:c r="I1212" s="17" t="n">
        <x:v>0.2</x:v>
      </x:c>
      <x:c r="J1212" s="19" t="n">
        <x:v>6</x:v>
      </x:c>
      <x:c r="K1212" s="19" t="n">
        <x:f>E1212*G1212</x:f>
        <x:v>60</x:v>
      </x:c>
      <x:c r="L1212" s="19" t="n">
        <x:f>K1212*I1212</x:f>
        <x:v>12</x:v>
      </x:c>
      <x:c r="M1212" s="19" t="n">
        <x:f>(E1212-F1212)*G1212*(1-I1212)</x:f>
        <x:v>48</x:v>
      </x:c>
      <x:c r="N1212" s="19" t="n">
        <x:f>(E1212-F1212)*H1212</x:f>
        <x:v>24</x:v>
      </x:c>
      <x:c r="O1212" s="19" t="n">
        <x:f>F1212*J1212</x:f>
        <x:v>0</x:v>
      </x:c>
      <x:c r="P1212" s="19" t="n">
        <x:f>M1212-N1212-O1212</x:f>
        <x:v>24</x:v>
      </x:c>
    </x:row>
    <x:row r="1213">
      <x:c r="A1213" s="15" t="str">
        <x:v>SIM-1209</x:v>
      </x:c>
      <x:c r="B1213" s="15" t="str">
        <x:v>2026-06</x:v>
      </x:c>
      <x:c r="C1213" s="15" t="str">
        <x:v>Accesorios</x:v>
      </x:c>
      <x:c r="D1213" s="15" t="str">
        <x:v>Online</x:v>
      </x:c>
      <x:c r="E1213" s="15" t="n">
        <x:v>1</x:v>
      </x:c>
      <x:c r="F1213" s="15" t="n">
        <x:v>0</x:v>
      </x:c>
      <x:c r="G1213" s="19" t="n">
        <x:v>30</x:v>
      </x:c>
      <x:c r="H1213" s="19" t="n">
        <x:v>9</x:v>
      </x:c>
      <x:c r="I1213" s="17" t="n">
        <x:v>0.2</x:v>
      </x:c>
      <x:c r="J1213" s="19" t="n">
        <x:v>6</x:v>
      </x:c>
      <x:c r="K1213" s="19" t="n">
        <x:f>E1213*G1213</x:f>
        <x:v>30</x:v>
      </x:c>
      <x:c r="L1213" s="19" t="n">
        <x:f>K1213*I1213</x:f>
        <x:v>6</x:v>
      </x:c>
      <x:c r="M1213" s="19" t="n">
        <x:f>(E1213-F1213)*G1213*(1-I1213)</x:f>
        <x:v>24</x:v>
      </x:c>
      <x:c r="N1213" s="19" t="n">
        <x:f>(E1213-F1213)*H1213</x:f>
        <x:v>9</x:v>
      </x:c>
      <x:c r="O1213" s="19" t="n">
        <x:f>F1213*J1213</x:f>
        <x:v>0</x:v>
      </x:c>
      <x:c r="P1213" s="19" t="n">
        <x:f>M1213-N1213-O1213</x:f>
        <x:v>15</x:v>
      </x:c>
    </x:row>
    <x:row r="1214">
      <x:c r="A1214" s="15" t="str">
        <x:v>SIM-1210</x:v>
      </x:c>
      <x:c r="B1214" s="15" t="str">
        <x:v>2026-06</x:v>
      </x:c>
      <x:c r="C1214" s="15" t="str">
        <x:v>Prendas</x:v>
      </x:c>
      <x:c r="D1214" s="15" t="str">
        <x:v>Online</x:v>
      </x:c>
      <x:c r="E1214" s="15" t="n">
        <x:v>2</x:v>
      </x:c>
      <x:c r="F1214" s="15" t="n">
        <x:v>1</x:v>
      </x:c>
      <x:c r="G1214" s="19" t="n">
        <x:v>60</x:v>
      </x:c>
      <x:c r="H1214" s="19" t="n">
        <x:v>24</x:v>
      </x:c>
      <x:c r="I1214" s="17" t="n">
        <x:v>0</x:v>
      </x:c>
      <x:c r="J1214" s="19" t="n">
        <x:v>6</x:v>
      </x:c>
      <x:c r="K1214" s="19" t="n">
        <x:f>E1214*G1214</x:f>
        <x:v>120</x:v>
      </x:c>
      <x:c r="L1214" s="19" t="n">
        <x:f>K1214*I1214</x:f>
        <x:v>0</x:v>
      </x:c>
      <x:c r="M1214" s="19" t="n">
        <x:f>(E1214-F1214)*G1214*(1-I1214)</x:f>
        <x:v>60</x:v>
      </x:c>
      <x:c r="N1214" s="19" t="n">
        <x:f>(E1214-F1214)*H1214</x:f>
        <x:v>24</x:v>
      </x:c>
      <x:c r="O1214" s="19" t="n">
        <x:f>F1214*J1214</x:f>
        <x:v>6</x:v>
      </x:c>
      <x:c r="P1214" s="19" t="n">
        <x:f>M1214-N1214-O1214</x:f>
        <x:v>30</x:v>
      </x:c>
    </x:row>
    <x:row r="1215">
      <x:c r="A1215" s="15" t="str">
        <x:v>SIM-1211</x:v>
      </x:c>
      <x:c r="B1215" s="15" t="str">
        <x:v>2026-06</x:v>
      </x:c>
      <x:c r="C1215" s="15" t="str">
        <x:v>Prendas</x:v>
      </x:c>
      <x:c r="D1215" s="15" t="str">
        <x:v>Tienda</x:v>
      </x:c>
      <x:c r="E1215" s="15" t="n">
        <x:v>2</x:v>
      </x:c>
      <x:c r="F1215" s="15" t="n">
        <x:v>0</x:v>
      </x:c>
      <x:c r="G1215" s="19" t="n">
        <x:v>60</x:v>
      </x:c>
      <x:c r="H1215" s="19" t="n">
        <x:v>24</x:v>
      </x:c>
      <x:c r="I1215" s="17" t="n">
        <x:v>0.2</x:v>
      </x:c>
      <x:c r="J1215" s="19" t="n">
        <x:v>2</x:v>
      </x:c>
      <x:c r="K1215" s="19" t="n">
        <x:f>E1215*G1215</x:f>
        <x:v>120</x:v>
      </x:c>
      <x:c r="L1215" s="19" t="n">
        <x:f>K1215*I1215</x:f>
        <x:v>24</x:v>
      </x:c>
      <x:c r="M1215" s="19" t="n">
        <x:f>(E1215-F1215)*G1215*(1-I1215)</x:f>
        <x:v>96</x:v>
      </x:c>
      <x:c r="N1215" s="19" t="n">
        <x:f>(E1215-F1215)*H1215</x:f>
        <x:v>48</x:v>
      </x:c>
      <x:c r="O1215" s="19" t="n">
        <x:f>F1215*J1215</x:f>
        <x:v>0</x:v>
      </x:c>
      <x:c r="P1215" s="19" t="n">
        <x:f>M1215-N1215-O1215</x:f>
        <x:v>48</x:v>
      </x:c>
    </x:row>
    <x:row r="1216">
      <x:c r="A1216" s="15" t="str">
        <x:v>SIM-1212</x:v>
      </x:c>
      <x:c r="B1216" s="15" t="str">
        <x:v>2026-06</x:v>
      </x:c>
      <x:c r="C1216" s="15" t="str">
        <x:v>Calzado</x:v>
      </x:c>
      <x:c r="D1216" s="15" t="str">
        <x:v>Tienda</x:v>
      </x:c>
      <x:c r="E1216" s="15" t="n">
        <x:v>1</x:v>
      </x:c>
      <x:c r="F1216" s="15" t="n">
        <x:v>0</x:v>
      </x:c>
      <x:c r="G1216" s="19" t="n">
        <x:v>90</x:v>
      </x:c>
      <x:c r="H1216" s="19" t="n">
        <x:v>42</x:v>
      </x:c>
      <x:c r="I1216" s="17" t="n">
        <x:v>0.3</x:v>
      </x:c>
      <x:c r="J1216" s="19" t="n">
        <x:v>2</x:v>
      </x:c>
      <x:c r="K1216" s="19" t="n">
        <x:f>E1216*G1216</x:f>
        <x:v>90</x:v>
      </x:c>
      <x:c r="L1216" s="19" t="n">
        <x:f>K1216*I1216</x:f>
        <x:v>27</x:v>
      </x:c>
      <x:c r="M1216" s="19" t="n">
        <x:f>(E1216-F1216)*G1216*(1-I1216)</x:f>
        <x:v>62.99999999999999</x:v>
      </x:c>
      <x:c r="N1216" s="19" t="n">
        <x:f>(E1216-F1216)*H1216</x:f>
        <x:v>42</x:v>
      </x:c>
      <x:c r="O1216" s="19" t="n">
        <x:f>F1216*J1216</x:f>
        <x:v>0</x:v>
      </x:c>
      <x:c r="P1216" s="19" t="n">
        <x:f>M1216-N1216-O1216</x:f>
        <x:v>20.999999999999993</x:v>
      </x:c>
    </x:row>
    <x:row r="1217">
      <x:c r="A1217" s="15" t="str">
        <x:v>SIM-1213</x:v>
      </x:c>
      <x:c r="B1217" s="15" t="str">
        <x:v>2026-06</x:v>
      </x:c>
      <x:c r="C1217" s="15" t="str">
        <x:v>Accesorios</x:v>
      </x:c>
      <x:c r="D1217" s="15" t="str">
        <x:v>Tienda</x:v>
      </x:c>
      <x:c r="E1217" s="15" t="n">
        <x:v>2</x:v>
      </x:c>
      <x:c r="F1217" s="15" t="n">
        <x:v>0</x:v>
      </x:c>
      <x:c r="G1217" s="19" t="n">
        <x:v>30</x:v>
      </x:c>
      <x:c r="H1217" s="19" t="n">
        <x:v>9</x:v>
      </x:c>
      <x:c r="I1217" s="17" t="n">
        <x:v>0.1</x:v>
      </x:c>
      <x:c r="J1217" s="19" t="n">
        <x:v>2</x:v>
      </x:c>
      <x:c r="K1217" s="19" t="n">
        <x:f>E1217*G1217</x:f>
        <x:v>60</x:v>
      </x:c>
      <x:c r="L1217" s="19" t="n">
        <x:f>K1217*I1217</x:f>
        <x:v>6</x:v>
      </x:c>
      <x:c r="M1217" s="19" t="n">
        <x:f>(E1217-F1217)*G1217*(1-I1217)</x:f>
        <x:v>54</x:v>
      </x:c>
      <x:c r="N1217" s="19" t="n">
        <x:f>(E1217-F1217)*H1217</x:f>
        <x:v>18</x:v>
      </x:c>
      <x:c r="O1217" s="19" t="n">
        <x:f>F1217*J1217</x:f>
        <x:v>0</x:v>
      </x:c>
      <x:c r="P1217" s="19" t="n">
        <x:f>M1217-N1217-O1217</x:f>
        <x:v>36</x:v>
      </x:c>
    </x:row>
    <x:row r="1218">
      <x:c r="A1218" s="15" t="str">
        <x:v>SIM-1214</x:v>
      </x:c>
      <x:c r="B1218" s="15" t="str">
        <x:v>2026-06</x:v>
      </x:c>
      <x:c r="C1218" s="15" t="str">
        <x:v>Calzado</x:v>
      </x:c>
      <x:c r="D1218" s="15" t="str">
        <x:v>Tienda</x:v>
      </x:c>
      <x:c r="E1218" s="15" t="n">
        <x:v>3</x:v>
      </x:c>
      <x:c r="F1218" s="15" t="n">
        <x:v>0</x:v>
      </x:c>
      <x:c r="G1218" s="19" t="n">
        <x:v>90</x:v>
      </x:c>
      <x:c r="H1218" s="19" t="n">
        <x:v>42</x:v>
      </x:c>
      <x:c r="I1218" s="17" t="n">
        <x:v>0.1</x:v>
      </x:c>
      <x:c r="J1218" s="19" t="n">
        <x:v>2</x:v>
      </x:c>
      <x:c r="K1218" s="19" t="n">
        <x:f>E1218*G1218</x:f>
        <x:v>270</x:v>
      </x:c>
      <x:c r="L1218" s="19" t="n">
        <x:f>K1218*I1218</x:f>
        <x:v>27</x:v>
      </x:c>
      <x:c r="M1218" s="19" t="n">
        <x:f>(E1218-F1218)*G1218*(1-I1218)</x:f>
        <x:v>243</x:v>
      </x:c>
      <x:c r="N1218" s="19" t="n">
        <x:f>(E1218-F1218)*H1218</x:f>
        <x:v>126</x:v>
      </x:c>
      <x:c r="O1218" s="19" t="n">
        <x:f>F1218*J1218</x:f>
        <x:v>0</x:v>
      </x:c>
      <x:c r="P1218" s="19" t="n">
        <x:f>M1218-N1218-O1218</x:f>
        <x:v>117</x:v>
      </x:c>
    </x:row>
    <x:row r="1219">
      <x:c r="A1219" s="15" t="str">
        <x:v>SIM-1215</x:v>
      </x:c>
      <x:c r="B1219" s="15" t="str">
        <x:v>2026-06</x:v>
      </x:c>
      <x:c r="C1219" s="15" t="str">
        <x:v>Accesorios</x:v>
      </x:c>
      <x:c r="D1219" s="15" t="str">
        <x:v>Tienda</x:v>
      </x:c>
      <x:c r="E1219" s="15" t="n">
        <x:v>1</x:v>
      </x:c>
      <x:c r="F1219" s="15" t="n">
        <x:v>0</x:v>
      </x:c>
      <x:c r="G1219" s="19" t="n">
        <x:v>30</x:v>
      </x:c>
      <x:c r="H1219" s="19" t="n">
        <x:v>9</x:v>
      </x:c>
      <x:c r="I1219" s="17" t="n">
        <x:v>0.3</x:v>
      </x:c>
      <x:c r="J1219" s="19" t="n">
        <x:v>2</x:v>
      </x:c>
      <x:c r="K1219" s="19" t="n">
        <x:f>E1219*G1219</x:f>
        <x:v>30</x:v>
      </x:c>
      <x:c r="L1219" s="19" t="n">
        <x:f>K1219*I1219</x:f>
        <x:v>9</x:v>
      </x:c>
      <x:c r="M1219" s="19" t="n">
        <x:f>(E1219-F1219)*G1219*(1-I1219)</x:f>
        <x:v>21</x:v>
      </x:c>
      <x:c r="N1219" s="19" t="n">
        <x:f>(E1219-F1219)*H1219</x:f>
        <x:v>9</x:v>
      </x:c>
      <x:c r="O1219" s="19" t="n">
        <x:f>F1219*J1219</x:f>
        <x:v>0</x:v>
      </x:c>
      <x:c r="P1219" s="19" t="n">
        <x:f>M1219-N1219-O1219</x:f>
        <x:v>12</x:v>
      </x:c>
    </x:row>
    <x:row r="1220">
      <x:c r="A1220" s="15" t="str">
        <x:v>SIM-1216</x:v>
      </x:c>
      <x:c r="B1220" s="15" t="str">
        <x:v>2026-06</x:v>
      </x:c>
      <x:c r="C1220" s="15" t="str">
        <x:v>Prendas</x:v>
      </x:c>
      <x:c r="D1220" s="15" t="str">
        <x:v>Tienda</x:v>
      </x:c>
      <x:c r="E1220" s="15" t="n">
        <x:v>1</x:v>
      </x:c>
      <x:c r="F1220" s="15" t="n">
        <x:v>0</x:v>
      </x:c>
      <x:c r="G1220" s="19" t="n">
        <x:v>60</x:v>
      </x:c>
      <x:c r="H1220" s="19" t="n">
        <x:v>24</x:v>
      </x:c>
      <x:c r="I1220" s="17" t="n">
        <x:v>0</x:v>
      </x:c>
      <x:c r="J1220" s="19" t="n">
        <x:v>2</x:v>
      </x:c>
      <x:c r="K1220" s="19" t="n">
        <x:f>E1220*G1220</x:f>
        <x:v>60</x:v>
      </x:c>
      <x:c r="L1220" s="19" t="n">
        <x:f>K1220*I1220</x:f>
        <x:v>0</x:v>
      </x:c>
      <x:c r="M1220" s="19" t="n">
        <x:f>(E1220-F1220)*G1220*(1-I1220)</x:f>
        <x:v>60</x:v>
      </x:c>
      <x:c r="N1220" s="19" t="n">
        <x:f>(E1220-F1220)*H1220</x:f>
        <x:v>24</x:v>
      </x:c>
      <x:c r="O1220" s="19" t="n">
        <x:f>F1220*J1220</x:f>
        <x:v>0</x:v>
      </x:c>
      <x:c r="P1220" s="19" t="n">
        <x:f>M1220-N1220-O1220</x:f>
        <x:v>36</x:v>
      </x:c>
    </x:row>
    <x:row r="1221">
      <x:c r="A1221" s="15" t="str">
        <x:v>SIM-1217</x:v>
      </x:c>
      <x:c r="B1221" s="15" t="str">
        <x:v>2026-06</x:v>
      </x:c>
      <x:c r="C1221" s="15" t="str">
        <x:v>Calzado</x:v>
      </x:c>
      <x:c r="D1221" s="15" t="str">
        <x:v>Online</x:v>
      </x:c>
      <x:c r="E1221" s="15" t="n">
        <x:v>1</x:v>
      </x:c>
      <x:c r="F1221" s="15" t="n">
        <x:v>0</x:v>
      </x:c>
      <x:c r="G1221" s="19" t="n">
        <x:v>90</x:v>
      </x:c>
      <x:c r="H1221" s="19" t="n">
        <x:v>42</x:v>
      </x:c>
      <x:c r="I1221" s="17" t="n">
        <x:v>0.3</x:v>
      </x:c>
      <x:c r="J1221" s="19" t="n">
        <x:v>6</x:v>
      </x:c>
      <x:c r="K1221" s="19" t="n">
        <x:f>E1221*G1221</x:f>
        <x:v>90</x:v>
      </x:c>
      <x:c r="L1221" s="19" t="n">
        <x:f>K1221*I1221</x:f>
        <x:v>27</x:v>
      </x:c>
      <x:c r="M1221" s="19" t="n">
        <x:f>(E1221-F1221)*G1221*(1-I1221)</x:f>
        <x:v>62.99999999999999</x:v>
      </x:c>
      <x:c r="N1221" s="19" t="n">
        <x:f>(E1221-F1221)*H1221</x:f>
        <x:v>42</x:v>
      </x:c>
      <x:c r="O1221" s="19" t="n">
        <x:f>F1221*J1221</x:f>
        <x:v>0</x:v>
      </x:c>
      <x:c r="P1221" s="19" t="n">
        <x:f>M1221-N1221-O1221</x:f>
        <x:v>20.999999999999993</x:v>
      </x:c>
    </x:row>
    <x:row r="1222">
      <x:c r="A1222" s="15" t="str">
        <x:v>SIM-1218</x:v>
      </x:c>
      <x:c r="B1222" s="15" t="str">
        <x:v>2026-06</x:v>
      </x:c>
      <x:c r="C1222" s="15" t="str">
        <x:v>Calzado</x:v>
      </x:c>
      <x:c r="D1222" s="15" t="str">
        <x:v>Tienda</x:v>
      </x:c>
      <x:c r="E1222" s="15" t="n">
        <x:v>2</x:v>
      </x:c>
      <x:c r="F1222" s="15" t="n">
        <x:v>0</x:v>
      </x:c>
      <x:c r="G1222" s="19" t="n">
        <x:v>90</x:v>
      </x:c>
      <x:c r="H1222" s="19" t="n">
        <x:v>42</x:v>
      </x:c>
      <x:c r="I1222" s="17" t="n">
        <x:v>0.1</x:v>
      </x:c>
      <x:c r="J1222" s="19" t="n">
        <x:v>2</x:v>
      </x:c>
      <x:c r="K1222" s="19" t="n">
        <x:f>E1222*G1222</x:f>
        <x:v>180</x:v>
      </x:c>
      <x:c r="L1222" s="19" t="n">
        <x:f>K1222*I1222</x:f>
        <x:v>18</x:v>
      </x:c>
      <x:c r="M1222" s="19" t="n">
        <x:f>(E1222-F1222)*G1222*(1-I1222)</x:f>
        <x:v>162</x:v>
      </x:c>
      <x:c r="N1222" s="19" t="n">
        <x:f>(E1222-F1222)*H1222</x:f>
        <x:v>84</x:v>
      </x:c>
      <x:c r="O1222" s="19" t="n">
        <x:f>F1222*J1222</x:f>
        <x:v>0</x:v>
      </x:c>
      <x:c r="P1222" s="19" t="n">
        <x:f>M1222-N1222-O1222</x:f>
        <x:v>78</x:v>
      </x:c>
    </x:row>
    <x:row r="1223">
      <x:c r="A1223" s="15" t="str">
        <x:v>SIM-1219</x:v>
      </x:c>
      <x:c r="B1223" s="15" t="str">
        <x:v>2026-06</x:v>
      </x:c>
      <x:c r="C1223" s="15" t="str">
        <x:v>Prendas</x:v>
      </x:c>
      <x:c r="D1223" s="15" t="str">
        <x:v>Online</x:v>
      </x:c>
      <x:c r="E1223" s="15" t="n">
        <x:v>1</x:v>
      </x:c>
      <x:c r="F1223" s="15" t="n">
        <x:v>0</x:v>
      </x:c>
      <x:c r="G1223" s="19" t="n">
        <x:v>60</x:v>
      </x:c>
      <x:c r="H1223" s="19" t="n">
        <x:v>24</x:v>
      </x:c>
      <x:c r="I1223" s="17" t="n">
        <x:v>0.2</x:v>
      </x:c>
      <x:c r="J1223" s="19" t="n">
        <x:v>6</x:v>
      </x:c>
      <x:c r="K1223" s="19" t="n">
        <x:f>E1223*G1223</x:f>
        <x:v>60</x:v>
      </x:c>
      <x:c r="L1223" s="19" t="n">
        <x:f>K1223*I1223</x:f>
        <x:v>12</x:v>
      </x:c>
      <x:c r="M1223" s="19" t="n">
        <x:f>(E1223-F1223)*G1223*(1-I1223)</x:f>
        <x:v>48</x:v>
      </x:c>
      <x:c r="N1223" s="19" t="n">
        <x:f>(E1223-F1223)*H1223</x:f>
        <x:v>24</x:v>
      </x:c>
      <x:c r="O1223" s="19" t="n">
        <x:f>F1223*J1223</x:f>
        <x:v>0</x:v>
      </x:c>
      <x:c r="P1223" s="19" t="n">
        <x:f>M1223-N1223-O1223</x:f>
        <x:v>24</x:v>
      </x:c>
    </x:row>
    <x:row r="1224">
      <x:c r="A1224" s="15" t="str">
        <x:v>SIM-1220</x:v>
      </x:c>
      <x:c r="B1224" s="15" t="str">
        <x:v>2026-06</x:v>
      </x:c>
      <x:c r="C1224" s="15" t="str">
        <x:v>Calzado</x:v>
      </x:c>
      <x:c r="D1224" s="15" t="str">
        <x:v>Tienda</x:v>
      </x:c>
      <x:c r="E1224" s="15" t="n">
        <x:v>1</x:v>
      </x:c>
      <x:c r="F1224" s="15" t="n">
        <x:v>0</x:v>
      </x:c>
      <x:c r="G1224" s="19" t="n">
        <x:v>90</x:v>
      </x:c>
      <x:c r="H1224" s="19" t="n">
        <x:v>42</x:v>
      </x:c>
      <x:c r="I1224" s="17" t="n">
        <x:v>0.3</x:v>
      </x:c>
      <x:c r="J1224" s="19" t="n">
        <x:v>2</x:v>
      </x:c>
      <x:c r="K1224" s="19" t="n">
        <x:f>E1224*G1224</x:f>
        <x:v>90</x:v>
      </x:c>
      <x:c r="L1224" s="19" t="n">
        <x:f>K1224*I1224</x:f>
        <x:v>27</x:v>
      </x:c>
      <x:c r="M1224" s="19" t="n">
        <x:f>(E1224-F1224)*G1224*(1-I1224)</x:f>
        <x:v>62.99999999999999</x:v>
      </x:c>
      <x:c r="N1224" s="19" t="n">
        <x:f>(E1224-F1224)*H1224</x:f>
        <x:v>42</x:v>
      </x:c>
      <x:c r="O1224" s="19" t="n">
        <x:f>F1224*J1224</x:f>
        <x:v>0</x:v>
      </x:c>
      <x:c r="P1224" s="19" t="n">
        <x:f>M1224-N1224-O1224</x:f>
        <x:v>20.999999999999993</x:v>
      </x:c>
    </x:row>
    <x:row r="1225">
      <x:c r="A1225" s="15" t="str">
        <x:v>SIM-1221</x:v>
      </x:c>
      <x:c r="B1225" s="15" t="str">
        <x:v>2026-06</x:v>
      </x:c>
      <x:c r="C1225" s="15" t="str">
        <x:v>Prendas</x:v>
      </x:c>
      <x:c r="D1225" s="15" t="str">
        <x:v>Tienda</x:v>
      </x:c>
      <x:c r="E1225" s="15" t="n">
        <x:v>3</x:v>
      </x:c>
      <x:c r="F1225" s="15" t="n">
        <x:v>0</x:v>
      </x:c>
      <x:c r="G1225" s="19" t="n">
        <x:v>60</x:v>
      </x:c>
      <x:c r="H1225" s="19" t="n">
        <x:v>24</x:v>
      </x:c>
      <x:c r="I1225" s="17" t="n">
        <x:v>0</x:v>
      </x:c>
      <x:c r="J1225" s="19" t="n">
        <x:v>2</x:v>
      </x:c>
      <x:c r="K1225" s="19" t="n">
        <x:f>E1225*G1225</x:f>
        <x:v>180</x:v>
      </x:c>
      <x:c r="L1225" s="19" t="n">
        <x:f>K1225*I1225</x:f>
        <x:v>0</x:v>
      </x:c>
      <x:c r="M1225" s="19" t="n">
        <x:f>(E1225-F1225)*G1225*(1-I1225)</x:f>
        <x:v>180</x:v>
      </x:c>
      <x:c r="N1225" s="19" t="n">
        <x:f>(E1225-F1225)*H1225</x:f>
        <x:v>72</x:v>
      </x:c>
      <x:c r="O1225" s="19" t="n">
        <x:f>F1225*J1225</x:f>
        <x:v>0</x:v>
      </x:c>
      <x:c r="P1225" s="19" t="n">
        <x:f>M1225-N1225-O1225</x:f>
        <x:v>108</x:v>
      </x:c>
    </x:row>
    <x:row r="1226">
      <x:c r="A1226" s="15" t="str">
        <x:v>SIM-1222</x:v>
      </x:c>
      <x:c r="B1226" s="15" t="str">
        <x:v>2026-06</x:v>
      </x:c>
      <x:c r="C1226" s="15" t="str">
        <x:v>Prendas</x:v>
      </x:c>
      <x:c r="D1226" s="15" t="str">
        <x:v>Online</x:v>
      </x:c>
      <x:c r="E1226" s="15" t="n">
        <x:v>2</x:v>
      </x:c>
      <x:c r="F1226" s="15" t="n">
        <x:v>0</x:v>
      </x:c>
      <x:c r="G1226" s="19" t="n">
        <x:v>60</x:v>
      </x:c>
      <x:c r="H1226" s="19" t="n">
        <x:v>24</x:v>
      </x:c>
      <x:c r="I1226" s="17" t="n">
        <x:v>0.1</x:v>
      </x:c>
      <x:c r="J1226" s="19" t="n">
        <x:v>6</x:v>
      </x:c>
      <x:c r="K1226" s="19" t="n">
        <x:f>E1226*G1226</x:f>
        <x:v>120</x:v>
      </x:c>
      <x:c r="L1226" s="19" t="n">
        <x:f>K1226*I1226</x:f>
        <x:v>12</x:v>
      </x:c>
      <x:c r="M1226" s="19" t="n">
        <x:f>(E1226-F1226)*G1226*(1-I1226)</x:f>
        <x:v>108</x:v>
      </x:c>
      <x:c r="N1226" s="19" t="n">
        <x:f>(E1226-F1226)*H1226</x:f>
        <x:v>48</x:v>
      </x:c>
      <x:c r="O1226" s="19" t="n">
        <x:f>F1226*J1226</x:f>
        <x:v>0</x:v>
      </x:c>
      <x:c r="P1226" s="19" t="n">
        <x:f>M1226-N1226-O1226</x:f>
        <x:v>60</x:v>
      </x:c>
    </x:row>
    <x:row r="1227">
      <x:c r="A1227" s="15" t="str">
        <x:v>SIM-1223</x:v>
      </x:c>
      <x:c r="B1227" s="15" t="str">
        <x:v>2026-06</x:v>
      </x:c>
      <x:c r="C1227" s="15" t="str">
        <x:v>Prendas</x:v>
      </x:c>
      <x:c r="D1227" s="15" t="str">
        <x:v>Tienda</x:v>
      </x:c>
      <x:c r="E1227" s="15" t="n">
        <x:v>2</x:v>
      </x:c>
      <x:c r="F1227" s="15" t="n">
        <x:v>0</x:v>
      </x:c>
      <x:c r="G1227" s="19" t="n">
        <x:v>60</x:v>
      </x:c>
      <x:c r="H1227" s="19" t="n">
        <x:v>24</x:v>
      </x:c>
      <x:c r="I1227" s="17" t="n">
        <x:v>0.1</x:v>
      </x:c>
      <x:c r="J1227" s="19" t="n">
        <x:v>2</x:v>
      </x:c>
      <x:c r="K1227" s="19" t="n">
        <x:f>E1227*G1227</x:f>
        <x:v>120</x:v>
      </x:c>
      <x:c r="L1227" s="19" t="n">
        <x:f>K1227*I1227</x:f>
        <x:v>12</x:v>
      </x:c>
      <x:c r="M1227" s="19" t="n">
        <x:f>(E1227-F1227)*G1227*(1-I1227)</x:f>
        <x:v>108</x:v>
      </x:c>
      <x:c r="N1227" s="19" t="n">
        <x:f>(E1227-F1227)*H1227</x:f>
        <x:v>48</x:v>
      </x:c>
      <x:c r="O1227" s="19" t="n">
        <x:f>F1227*J1227</x:f>
        <x:v>0</x:v>
      </x:c>
      <x:c r="P1227" s="19" t="n">
        <x:f>M1227-N1227-O1227</x:f>
        <x:v>60</x:v>
      </x:c>
    </x:row>
    <x:row r="1228">
      <x:c r="A1228" s="15" t="str">
        <x:v>SIM-1224</x:v>
      </x:c>
      <x:c r="B1228" s="15" t="str">
        <x:v>2026-06</x:v>
      </x:c>
      <x:c r="C1228" s="15" t="str">
        <x:v>Accesorios</x:v>
      </x:c>
      <x:c r="D1228" s="15" t="str">
        <x:v>Tienda</x:v>
      </x:c>
      <x:c r="E1228" s="15" t="n">
        <x:v>1</x:v>
      </x:c>
      <x:c r="F1228" s="15" t="n">
        <x:v>0</x:v>
      </x:c>
      <x:c r="G1228" s="19" t="n">
        <x:v>30</x:v>
      </x:c>
      <x:c r="H1228" s="19" t="n">
        <x:v>9</x:v>
      </x:c>
      <x:c r="I1228" s="17" t="n">
        <x:v>0.1</x:v>
      </x:c>
      <x:c r="J1228" s="19" t="n">
        <x:v>2</x:v>
      </x:c>
      <x:c r="K1228" s="19" t="n">
        <x:f>E1228*G1228</x:f>
        <x:v>30</x:v>
      </x:c>
      <x:c r="L1228" s="19" t="n">
        <x:f>K1228*I1228</x:f>
        <x:v>3</x:v>
      </x:c>
      <x:c r="M1228" s="19" t="n">
        <x:f>(E1228-F1228)*G1228*(1-I1228)</x:f>
        <x:v>27</x:v>
      </x:c>
      <x:c r="N1228" s="19" t="n">
        <x:f>(E1228-F1228)*H1228</x:f>
        <x:v>9</x:v>
      </x:c>
      <x:c r="O1228" s="19" t="n">
        <x:f>F1228*J1228</x:f>
        <x:v>0</x:v>
      </x:c>
      <x:c r="P1228" s="19" t="n">
        <x:f>M1228-N1228-O1228</x:f>
        <x:v>18</x:v>
      </x:c>
    </x:row>
    <x:row r="1229">
      <x:c r="A1229" s="15" t="str">
        <x:v>SIM-1225</x:v>
      </x:c>
      <x:c r="B1229" s="15" t="str">
        <x:v>2026-06</x:v>
      </x:c>
      <x:c r="C1229" s="15" t="str">
        <x:v>Accesorios</x:v>
      </x:c>
      <x:c r="D1229" s="15" t="str">
        <x:v>Tienda</x:v>
      </x:c>
      <x:c r="E1229" s="15" t="n">
        <x:v>2</x:v>
      </x:c>
      <x:c r="F1229" s="15" t="n">
        <x:v>0</x:v>
      </x:c>
      <x:c r="G1229" s="19" t="n">
        <x:v>30</x:v>
      </x:c>
      <x:c r="H1229" s="19" t="n">
        <x:v>9</x:v>
      </x:c>
      <x:c r="I1229" s="17" t="n">
        <x:v>0.3</x:v>
      </x:c>
      <x:c r="J1229" s="19" t="n">
        <x:v>2</x:v>
      </x:c>
      <x:c r="K1229" s="19" t="n">
        <x:f>E1229*G1229</x:f>
        <x:v>60</x:v>
      </x:c>
      <x:c r="L1229" s="19" t="n">
        <x:f>K1229*I1229</x:f>
        <x:v>18</x:v>
      </x:c>
      <x:c r="M1229" s="19" t="n">
        <x:f>(E1229-F1229)*G1229*(1-I1229)</x:f>
        <x:v>42</x:v>
      </x:c>
      <x:c r="N1229" s="19" t="n">
        <x:f>(E1229-F1229)*H1229</x:f>
        <x:v>18</x:v>
      </x:c>
      <x:c r="O1229" s="19" t="n">
        <x:f>F1229*J1229</x:f>
        <x:v>0</x:v>
      </x:c>
      <x:c r="P1229" s="19" t="n">
        <x:f>M1229-N1229-O1229</x:f>
        <x:v>24</x:v>
      </x:c>
    </x:row>
    <x:row r="1230">
      <x:c r="A1230" s="15" t="str">
        <x:v>SIM-1226</x:v>
      </x:c>
      <x:c r="B1230" s="15" t="str">
        <x:v>2026-06</x:v>
      </x:c>
      <x:c r="C1230" s="15" t="str">
        <x:v>Prendas</x:v>
      </x:c>
      <x:c r="D1230" s="15" t="str">
        <x:v>Tienda</x:v>
      </x:c>
      <x:c r="E1230" s="15" t="n">
        <x:v>1</x:v>
      </x:c>
      <x:c r="F1230" s="15" t="n">
        <x:v>0</x:v>
      </x:c>
      <x:c r="G1230" s="19" t="n">
        <x:v>60</x:v>
      </x:c>
      <x:c r="H1230" s="19" t="n">
        <x:v>24</x:v>
      </x:c>
      <x:c r="I1230" s="17" t="n">
        <x:v>0</x:v>
      </x:c>
      <x:c r="J1230" s="19" t="n">
        <x:v>2</x:v>
      </x:c>
      <x:c r="K1230" s="19" t="n">
        <x:f>E1230*G1230</x:f>
        <x:v>60</x:v>
      </x:c>
      <x:c r="L1230" s="19" t="n">
        <x:f>K1230*I1230</x:f>
        <x:v>0</x:v>
      </x:c>
      <x:c r="M1230" s="19" t="n">
        <x:f>(E1230-F1230)*G1230*(1-I1230)</x:f>
        <x:v>60</x:v>
      </x:c>
      <x:c r="N1230" s="19" t="n">
        <x:f>(E1230-F1230)*H1230</x:f>
        <x:v>24</x:v>
      </x:c>
      <x:c r="O1230" s="19" t="n">
        <x:f>F1230*J1230</x:f>
        <x:v>0</x:v>
      </x:c>
      <x:c r="P1230" s="19" t="n">
        <x:f>M1230-N1230-O1230</x:f>
        <x:v>36</x:v>
      </x:c>
    </x:row>
    <x:row r="1231">
      <x:c r="A1231" s="15" t="str">
        <x:v>SIM-1227</x:v>
      </x:c>
      <x:c r="B1231" s="15" t="str">
        <x:v>2026-06</x:v>
      </x:c>
      <x:c r="C1231" s="15" t="str">
        <x:v>Calzado</x:v>
      </x:c>
      <x:c r="D1231" s="15" t="str">
        <x:v>Tienda</x:v>
      </x:c>
      <x:c r="E1231" s="15" t="n">
        <x:v>1</x:v>
      </x:c>
      <x:c r="F1231" s="15" t="n">
        <x:v>0</x:v>
      </x:c>
      <x:c r="G1231" s="19" t="n">
        <x:v>90</x:v>
      </x:c>
      <x:c r="H1231" s="19" t="n">
        <x:v>42</x:v>
      </x:c>
      <x:c r="I1231" s="17" t="n">
        <x:v>0.3</x:v>
      </x:c>
      <x:c r="J1231" s="19" t="n">
        <x:v>2</x:v>
      </x:c>
      <x:c r="K1231" s="19" t="n">
        <x:f>E1231*G1231</x:f>
        <x:v>90</x:v>
      </x:c>
      <x:c r="L1231" s="19" t="n">
        <x:f>K1231*I1231</x:f>
        <x:v>27</x:v>
      </x:c>
      <x:c r="M1231" s="19" t="n">
        <x:f>(E1231-F1231)*G1231*(1-I1231)</x:f>
        <x:v>62.99999999999999</x:v>
      </x:c>
      <x:c r="N1231" s="19" t="n">
        <x:f>(E1231-F1231)*H1231</x:f>
        <x:v>42</x:v>
      </x:c>
      <x:c r="O1231" s="19" t="n">
        <x:f>F1231*J1231</x:f>
        <x:v>0</x:v>
      </x:c>
      <x:c r="P1231" s="19" t="n">
        <x:f>M1231-N1231-O1231</x:f>
        <x:v>20.999999999999993</x:v>
      </x:c>
    </x:row>
    <x:row r="1232">
      <x:c r="A1232" s="15" t="str">
        <x:v>SIM-1228</x:v>
      </x:c>
      <x:c r="B1232" s="15" t="str">
        <x:v>2026-06</x:v>
      </x:c>
      <x:c r="C1232" s="15" t="str">
        <x:v>Accesorios</x:v>
      </x:c>
      <x:c r="D1232" s="15" t="str">
        <x:v>Online</x:v>
      </x:c>
      <x:c r="E1232" s="15" t="n">
        <x:v>1</x:v>
      </x:c>
      <x:c r="F1232" s="15" t="n">
        <x:v>0</x:v>
      </x:c>
      <x:c r="G1232" s="19" t="n">
        <x:v>30</x:v>
      </x:c>
      <x:c r="H1232" s="19" t="n">
        <x:v>9</x:v>
      </x:c>
      <x:c r="I1232" s="17" t="n">
        <x:v>0.1</x:v>
      </x:c>
      <x:c r="J1232" s="19" t="n">
        <x:v>6</x:v>
      </x:c>
      <x:c r="K1232" s="19" t="n">
        <x:f>E1232*G1232</x:f>
        <x:v>30</x:v>
      </x:c>
      <x:c r="L1232" s="19" t="n">
        <x:f>K1232*I1232</x:f>
        <x:v>3</x:v>
      </x:c>
      <x:c r="M1232" s="19" t="n">
        <x:f>(E1232-F1232)*G1232*(1-I1232)</x:f>
        <x:v>27</x:v>
      </x:c>
      <x:c r="N1232" s="19" t="n">
        <x:f>(E1232-F1232)*H1232</x:f>
        <x:v>9</x:v>
      </x:c>
      <x:c r="O1232" s="19" t="n">
        <x:f>F1232*J1232</x:f>
        <x:v>0</x:v>
      </x:c>
      <x:c r="P1232" s="19" t="n">
        <x:f>M1232-N1232-O1232</x:f>
        <x:v>18</x:v>
      </x:c>
    </x:row>
    <x:row r="1233">
      <x:c r="A1233" s="15" t="str">
        <x:v>SIM-1229</x:v>
      </x:c>
      <x:c r="B1233" s="15" t="str">
        <x:v>2026-06</x:v>
      </x:c>
      <x:c r="C1233" s="15" t="str">
        <x:v>Accesorios</x:v>
      </x:c>
      <x:c r="D1233" s="15" t="str">
        <x:v>Online</x:v>
      </x:c>
      <x:c r="E1233" s="15" t="n">
        <x:v>1</x:v>
      </x:c>
      <x:c r="F1233" s="15" t="n">
        <x:v>0</x:v>
      </x:c>
      <x:c r="G1233" s="19" t="n">
        <x:v>30</x:v>
      </x:c>
      <x:c r="H1233" s="19" t="n">
        <x:v>9</x:v>
      </x:c>
      <x:c r="I1233" s="17" t="n">
        <x:v>0.1</x:v>
      </x:c>
      <x:c r="J1233" s="19" t="n">
        <x:v>6</x:v>
      </x:c>
      <x:c r="K1233" s="19" t="n">
        <x:f>E1233*G1233</x:f>
        <x:v>30</x:v>
      </x:c>
      <x:c r="L1233" s="19" t="n">
        <x:f>K1233*I1233</x:f>
        <x:v>3</x:v>
      </x:c>
      <x:c r="M1233" s="19" t="n">
        <x:f>(E1233-F1233)*G1233*(1-I1233)</x:f>
        <x:v>27</x:v>
      </x:c>
      <x:c r="N1233" s="19" t="n">
        <x:f>(E1233-F1233)*H1233</x:f>
        <x:v>9</x:v>
      </x:c>
      <x:c r="O1233" s="19" t="n">
        <x:f>F1233*J1233</x:f>
        <x:v>0</x:v>
      </x:c>
      <x:c r="P1233" s="19" t="n">
        <x:f>M1233-N1233-O1233</x:f>
        <x:v>18</x:v>
      </x:c>
    </x:row>
    <x:row r="1234">
      <x:c r="A1234" s="15" t="str">
        <x:v>SIM-1230</x:v>
      </x:c>
      <x:c r="B1234" s="15" t="str">
        <x:v>2026-06</x:v>
      </x:c>
      <x:c r="C1234" s="15" t="str">
        <x:v>Prendas</x:v>
      </x:c>
      <x:c r="D1234" s="15" t="str">
        <x:v>Online</x:v>
      </x:c>
      <x:c r="E1234" s="15" t="n">
        <x:v>1</x:v>
      </x:c>
      <x:c r="F1234" s="15" t="n">
        <x:v>0</x:v>
      </x:c>
      <x:c r="G1234" s="19" t="n">
        <x:v>60</x:v>
      </x:c>
      <x:c r="H1234" s="19" t="n">
        <x:v>24</x:v>
      </x:c>
      <x:c r="I1234" s="17" t="n">
        <x:v>0</x:v>
      </x:c>
      <x:c r="J1234" s="19" t="n">
        <x:v>6</x:v>
      </x:c>
      <x:c r="K1234" s="19" t="n">
        <x:f>E1234*G1234</x:f>
        <x:v>60</x:v>
      </x:c>
      <x:c r="L1234" s="19" t="n">
        <x:f>K1234*I1234</x:f>
        <x:v>0</x:v>
      </x:c>
      <x:c r="M1234" s="19" t="n">
        <x:f>(E1234-F1234)*G1234*(1-I1234)</x:f>
        <x:v>60</x:v>
      </x:c>
      <x:c r="N1234" s="19" t="n">
        <x:f>(E1234-F1234)*H1234</x:f>
        <x:v>24</x:v>
      </x:c>
      <x:c r="O1234" s="19" t="n">
        <x:f>F1234*J1234</x:f>
        <x:v>0</x:v>
      </x:c>
      <x:c r="P1234" s="19" t="n">
        <x:f>M1234-N1234-O1234</x:f>
        <x:v>36</x:v>
      </x:c>
    </x:row>
    <x:row r="1235">
      <x:c r="A1235" s="15" t="str">
        <x:v>SIM-1231</x:v>
      </x:c>
      <x:c r="B1235" s="15" t="str">
        <x:v>2026-06</x:v>
      </x:c>
      <x:c r="C1235" s="15" t="str">
        <x:v>Prendas</x:v>
      </x:c>
      <x:c r="D1235" s="15" t="str">
        <x:v>Online</x:v>
      </x:c>
      <x:c r="E1235" s="15" t="n">
        <x:v>1</x:v>
      </x:c>
      <x:c r="F1235" s="15" t="n">
        <x:v>0</x:v>
      </x:c>
      <x:c r="G1235" s="19" t="n">
        <x:v>60</x:v>
      </x:c>
      <x:c r="H1235" s="19" t="n">
        <x:v>24</x:v>
      </x:c>
      <x:c r="I1235" s="17" t="n">
        <x:v>0</x:v>
      </x:c>
      <x:c r="J1235" s="19" t="n">
        <x:v>6</x:v>
      </x:c>
      <x:c r="K1235" s="19" t="n">
        <x:f>E1235*G1235</x:f>
        <x:v>60</x:v>
      </x:c>
      <x:c r="L1235" s="19" t="n">
        <x:f>K1235*I1235</x:f>
        <x:v>0</x:v>
      </x:c>
      <x:c r="M1235" s="19" t="n">
        <x:f>(E1235-F1235)*G1235*(1-I1235)</x:f>
        <x:v>60</x:v>
      </x:c>
      <x:c r="N1235" s="19" t="n">
        <x:f>(E1235-F1235)*H1235</x:f>
        <x:v>24</x:v>
      </x:c>
      <x:c r="O1235" s="19" t="n">
        <x:f>F1235*J1235</x:f>
        <x:v>0</x:v>
      </x:c>
      <x:c r="P1235" s="19" t="n">
        <x:f>M1235-N1235-O1235</x:f>
        <x:v>36</x:v>
      </x:c>
    </x:row>
    <x:row r="1236">
      <x:c r="A1236" s="15" t="str">
        <x:v>SIM-1232</x:v>
      </x:c>
      <x:c r="B1236" s="15" t="str">
        <x:v>2026-06</x:v>
      </x:c>
      <x:c r="C1236" s="15" t="str">
        <x:v>Calzado</x:v>
      </x:c>
      <x:c r="D1236" s="15" t="str">
        <x:v>Online</x:v>
      </x:c>
      <x:c r="E1236" s="15" t="n">
        <x:v>2</x:v>
      </x:c>
      <x:c r="F1236" s="15" t="n">
        <x:v>0</x:v>
      </x:c>
      <x:c r="G1236" s="19" t="n">
        <x:v>90</x:v>
      </x:c>
      <x:c r="H1236" s="19" t="n">
        <x:v>42</x:v>
      </x:c>
      <x:c r="I1236" s="17" t="n">
        <x:v>0.3</x:v>
      </x:c>
      <x:c r="J1236" s="19" t="n">
        <x:v>6</x:v>
      </x:c>
      <x:c r="K1236" s="19" t="n">
        <x:f>E1236*G1236</x:f>
        <x:v>180</x:v>
      </x:c>
      <x:c r="L1236" s="19" t="n">
        <x:f>K1236*I1236</x:f>
        <x:v>54</x:v>
      </x:c>
      <x:c r="M1236" s="19" t="n">
        <x:f>(E1236-F1236)*G1236*(1-I1236)</x:f>
        <x:v>125.99999999999999</x:v>
      </x:c>
      <x:c r="N1236" s="19" t="n">
        <x:f>(E1236-F1236)*H1236</x:f>
        <x:v>84</x:v>
      </x:c>
      <x:c r="O1236" s="19" t="n">
        <x:f>F1236*J1236</x:f>
        <x:v>0</x:v>
      </x:c>
      <x:c r="P1236" s="19" t="n">
        <x:f>M1236-N1236-O1236</x:f>
        <x:v>41.999999999999986</x:v>
      </x:c>
    </x:row>
    <x:row r="1237">
      <x:c r="A1237" s="15" t="str">
        <x:v>SIM-1233</x:v>
      </x:c>
      <x:c r="B1237" s="15" t="str">
        <x:v>2026-06</x:v>
      </x:c>
      <x:c r="C1237" s="15" t="str">
        <x:v>Calzado</x:v>
      </x:c>
      <x:c r="D1237" s="15" t="str">
        <x:v>Online</x:v>
      </x:c>
      <x:c r="E1237" s="15" t="n">
        <x:v>1</x:v>
      </x:c>
      <x:c r="F1237" s="15" t="n">
        <x:v>0</x:v>
      </x:c>
      <x:c r="G1237" s="19" t="n">
        <x:v>90</x:v>
      </x:c>
      <x:c r="H1237" s="19" t="n">
        <x:v>42</x:v>
      </x:c>
      <x:c r="I1237" s="17" t="n">
        <x:v>0.3</x:v>
      </x:c>
      <x:c r="J1237" s="19" t="n">
        <x:v>6</x:v>
      </x:c>
      <x:c r="K1237" s="19" t="n">
        <x:f>E1237*G1237</x:f>
        <x:v>90</x:v>
      </x:c>
      <x:c r="L1237" s="19" t="n">
        <x:f>K1237*I1237</x:f>
        <x:v>27</x:v>
      </x:c>
      <x:c r="M1237" s="19" t="n">
        <x:f>(E1237-F1237)*G1237*(1-I1237)</x:f>
        <x:v>62.99999999999999</x:v>
      </x:c>
      <x:c r="N1237" s="19" t="n">
        <x:f>(E1237-F1237)*H1237</x:f>
        <x:v>42</x:v>
      </x:c>
      <x:c r="O1237" s="19" t="n">
        <x:f>F1237*J1237</x:f>
        <x:v>0</x:v>
      </x:c>
      <x:c r="P1237" s="19" t="n">
        <x:f>M1237-N1237-O1237</x:f>
        <x:v>20.999999999999993</x:v>
      </x:c>
    </x:row>
    <x:row r="1238">
      <x:c r="A1238" s="15" t="str">
        <x:v>SIM-1234</x:v>
      </x:c>
      <x:c r="B1238" s="15" t="str">
        <x:v>2026-06</x:v>
      </x:c>
      <x:c r="C1238" s="15" t="str">
        <x:v>Accesorios</x:v>
      </x:c>
      <x:c r="D1238" s="15" t="str">
        <x:v>Tienda</x:v>
      </x:c>
      <x:c r="E1238" s="15" t="n">
        <x:v>1</x:v>
      </x:c>
      <x:c r="F1238" s="15" t="n">
        <x:v>0</x:v>
      </x:c>
      <x:c r="G1238" s="19" t="n">
        <x:v>30</x:v>
      </x:c>
      <x:c r="H1238" s="19" t="n">
        <x:v>9</x:v>
      </x:c>
      <x:c r="I1238" s="17" t="n">
        <x:v>0.3</x:v>
      </x:c>
      <x:c r="J1238" s="19" t="n">
        <x:v>2</x:v>
      </x:c>
      <x:c r="K1238" s="19" t="n">
        <x:f>E1238*G1238</x:f>
        <x:v>30</x:v>
      </x:c>
      <x:c r="L1238" s="19" t="n">
        <x:f>K1238*I1238</x:f>
        <x:v>9</x:v>
      </x:c>
      <x:c r="M1238" s="19" t="n">
        <x:f>(E1238-F1238)*G1238*(1-I1238)</x:f>
        <x:v>21</x:v>
      </x:c>
      <x:c r="N1238" s="19" t="n">
        <x:f>(E1238-F1238)*H1238</x:f>
        <x:v>9</x:v>
      </x:c>
      <x:c r="O1238" s="19" t="n">
        <x:f>F1238*J1238</x:f>
        <x:v>0</x:v>
      </x:c>
      <x:c r="P1238" s="19" t="n">
        <x:f>M1238-N1238-O1238</x:f>
        <x:v>12</x:v>
      </x:c>
    </x:row>
    <x:row r="1239">
      <x:c r="A1239" s="15" t="str">
        <x:v>SIM-1235</x:v>
      </x:c>
      <x:c r="B1239" s="15" t="str">
        <x:v>2026-06</x:v>
      </x:c>
      <x:c r="C1239" s="15" t="str">
        <x:v>Calzado</x:v>
      </x:c>
      <x:c r="D1239" s="15" t="str">
        <x:v>Tienda</x:v>
      </x:c>
      <x:c r="E1239" s="15" t="n">
        <x:v>1</x:v>
      </x:c>
      <x:c r="F1239" s="15" t="n">
        <x:v>0</x:v>
      </x:c>
      <x:c r="G1239" s="19" t="n">
        <x:v>90</x:v>
      </x:c>
      <x:c r="H1239" s="19" t="n">
        <x:v>42</x:v>
      </x:c>
      <x:c r="I1239" s="17" t="n">
        <x:v>0.1</x:v>
      </x:c>
      <x:c r="J1239" s="19" t="n">
        <x:v>2</x:v>
      </x:c>
      <x:c r="K1239" s="19" t="n">
        <x:f>E1239*G1239</x:f>
        <x:v>90</x:v>
      </x:c>
      <x:c r="L1239" s="19" t="n">
        <x:f>K1239*I1239</x:f>
        <x:v>9</x:v>
      </x:c>
      <x:c r="M1239" s="19" t="n">
        <x:f>(E1239-F1239)*G1239*(1-I1239)</x:f>
        <x:v>81</x:v>
      </x:c>
      <x:c r="N1239" s="19" t="n">
        <x:f>(E1239-F1239)*H1239</x:f>
        <x:v>42</x:v>
      </x:c>
      <x:c r="O1239" s="19" t="n">
        <x:f>F1239*J1239</x:f>
        <x:v>0</x:v>
      </x:c>
      <x:c r="P1239" s="19" t="n">
        <x:f>M1239-N1239-O1239</x:f>
        <x:v>39</x:v>
      </x:c>
    </x:row>
    <x:row r="1240">
      <x:c r="A1240" s="15" t="str">
        <x:v>SIM-1236</x:v>
      </x:c>
      <x:c r="B1240" s="15" t="str">
        <x:v>2026-06</x:v>
      </x:c>
      <x:c r="C1240" s="15" t="str">
        <x:v>Calzado</x:v>
      </x:c>
      <x:c r="D1240" s="15" t="str">
        <x:v>Tienda</x:v>
      </x:c>
      <x:c r="E1240" s="15" t="n">
        <x:v>1</x:v>
      </x:c>
      <x:c r="F1240" s="15" t="n">
        <x:v>0</x:v>
      </x:c>
      <x:c r="G1240" s="19" t="n">
        <x:v>90</x:v>
      </x:c>
      <x:c r="H1240" s="19" t="n">
        <x:v>42</x:v>
      </x:c>
      <x:c r="I1240" s="17" t="n">
        <x:v>0.2</x:v>
      </x:c>
      <x:c r="J1240" s="19" t="n">
        <x:v>2</x:v>
      </x:c>
      <x:c r="K1240" s="19" t="n">
        <x:f>E1240*G1240</x:f>
        <x:v>90</x:v>
      </x:c>
      <x:c r="L1240" s="19" t="n">
        <x:f>K1240*I1240</x:f>
        <x:v>18</x:v>
      </x:c>
      <x:c r="M1240" s="19" t="n">
        <x:f>(E1240-F1240)*G1240*(1-I1240)</x:f>
        <x:v>72</x:v>
      </x:c>
      <x:c r="N1240" s="19" t="n">
        <x:f>(E1240-F1240)*H1240</x:f>
        <x:v>42</x:v>
      </x:c>
      <x:c r="O1240" s="19" t="n">
        <x:f>F1240*J1240</x:f>
        <x:v>0</x:v>
      </x:c>
      <x:c r="P1240" s="19" t="n">
        <x:f>M1240-N1240-O1240</x:f>
        <x:v>30</x:v>
      </x:c>
    </x:row>
    <x:row r="1241">
      <x:c r="A1241" s="15" t="str">
        <x:v>SIM-1237</x:v>
      </x:c>
      <x:c r="B1241" s="15" t="str">
        <x:v>2026-06</x:v>
      </x:c>
      <x:c r="C1241" s="15" t="str">
        <x:v>Prendas</x:v>
      </x:c>
      <x:c r="D1241" s="15" t="str">
        <x:v>Online</x:v>
      </x:c>
      <x:c r="E1241" s="15" t="n">
        <x:v>1</x:v>
      </x:c>
      <x:c r="F1241" s="15" t="n">
        <x:v>0</x:v>
      </x:c>
      <x:c r="G1241" s="19" t="n">
        <x:v>60</x:v>
      </x:c>
      <x:c r="H1241" s="19" t="n">
        <x:v>24</x:v>
      </x:c>
      <x:c r="I1241" s="17" t="n">
        <x:v>0.3</x:v>
      </x:c>
      <x:c r="J1241" s="19" t="n">
        <x:v>6</x:v>
      </x:c>
      <x:c r="K1241" s="19" t="n">
        <x:f>E1241*G1241</x:f>
        <x:v>60</x:v>
      </x:c>
      <x:c r="L1241" s="19" t="n">
        <x:f>K1241*I1241</x:f>
        <x:v>18</x:v>
      </x:c>
      <x:c r="M1241" s="19" t="n">
        <x:f>(E1241-F1241)*G1241*(1-I1241)</x:f>
        <x:v>42</x:v>
      </x:c>
      <x:c r="N1241" s="19" t="n">
        <x:f>(E1241-F1241)*H1241</x:f>
        <x:v>24</x:v>
      </x:c>
      <x:c r="O1241" s="19" t="n">
        <x:f>F1241*J1241</x:f>
        <x:v>0</x:v>
      </x:c>
      <x:c r="P1241" s="19" t="n">
        <x:f>M1241-N1241-O1241</x:f>
        <x:v>18</x:v>
      </x:c>
    </x:row>
    <x:row r="1242">
      <x:c r="A1242" s="15" t="str">
        <x:v>SIM-1238</x:v>
      </x:c>
      <x:c r="B1242" s="15" t="str">
        <x:v>2026-06</x:v>
      </x:c>
      <x:c r="C1242" s="15" t="str">
        <x:v>Calzado</x:v>
      </x:c>
      <x:c r="D1242" s="15" t="str">
        <x:v>Tienda</x:v>
      </x:c>
      <x:c r="E1242" s="15" t="n">
        <x:v>2</x:v>
      </x:c>
      <x:c r="F1242" s="15" t="n">
        <x:v>0</x:v>
      </x:c>
      <x:c r="G1242" s="19" t="n">
        <x:v>90</x:v>
      </x:c>
      <x:c r="H1242" s="19" t="n">
        <x:v>42</x:v>
      </x:c>
      <x:c r="I1242" s="17" t="n">
        <x:v>0</x:v>
      </x:c>
      <x:c r="J1242" s="19" t="n">
        <x:v>2</x:v>
      </x:c>
      <x:c r="K1242" s="19" t="n">
        <x:f>E1242*G1242</x:f>
        <x:v>180</x:v>
      </x:c>
      <x:c r="L1242" s="19" t="n">
        <x:f>K1242*I1242</x:f>
        <x:v>0</x:v>
      </x:c>
      <x:c r="M1242" s="19" t="n">
        <x:f>(E1242-F1242)*G1242*(1-I1242)</x:f>
        <x:v>180</x:v>
      </x:c>
      <x:c r="N1242" s="19" t="n">
        <x:f>(E1242-F1242)*H1242</x:f>
        <x:v>84</x:v>
      </x:c>
      <x:c r="O1242" s="19" t="n">
        <x:f>F1242*J1242</x:f>
        <x:v>0</x:v>
      </x:c>
      <x:c r="P1242" s="19" t="n">
        <x:f>M1242-N1242-O1242</x:f>
        <x:v>96</x:v>
      </x:c>
    </x:row>
    <x:row r="1243">
      <x:c r="A1243" s="15" t="str">
        <x:v>SIM-1239</x:v>
      </x:c>
      <x:c r="B1243" s="15" t="str">
        <x:v>2026-06</x:v>
      </x:c>
      <x:c r="C1243" s="15" t="str">
        <x:v>Prendas</x:v>
      </x:c>
      <x:c r="D1243" s="15" t="str">
        <x:v>Tienda</x:v>
      </x:c>
      <x:c r="E1243" s="15" t="n">
        <x:v>2</x:v>
      </x:c>
      <x:c r="F1243" s="15" t="n">
        <x:v>0</x:v>
      </x:c>
      <x:c r="G1243" s="19" t="n">
        <x:v>60</x:v>
      </x:c>
      <x:c r="H1243" s="19" t="n">
        <x:v>24</x:v>
      </x:c>
      <x:c r="I1243" s="17" t="n">
        <x:v>0.3</x:v>
      </x:c>
      <x:c r="J1243" s="19" t="n">
        <x:v>2</x:v>
      </x:c>
      <x:c r="K1243" s="19" t="n">
        <x:f>E1243*G1243</x:f>
        <x:v>120</x:v>
      </x:c>
      <x:c r="L1243" s="19" t="n">
        <x:f>K1243*I1243</x:f>
        <x:v>36</x:v>
      </x:c>
      <x:c r="M1243" s="19" t="n">
        <x:f>(E1243-F1243)*G1243*(1-I1243)</x:f>
        <x:v>84</x:v>
      </x:c>
      <x:c r="N1243" s="19" t="n">
        <x:f>(E1243-F1243)*H1243</x:f>
        <x:v>48</x:v>
      </x:c>
      <x:c r="O1243" s="19" t="n">
        <x:f>F1243*J1243</x:f>
        <x:v>0</x:v>
      </x:c>
      <x:c r="P1243" s="19" t="n">
        <x:f>M1243-N1243-O1243</x:f>
        <x:v>36</x:v>
      </x:c>
    </x:row>
    <x:row r="1244">
      <x:c r="A1244" s="15" t="str">
        <x:v>SIM-1240</x:v>
      </x:c>
      <x:c r="B1244" s="15" t="str">
        <x:v>2026-06</x:v>
      </x:c>
      <x:c r="C1244" s="15" t="str">
        <x:v>Calzado</x:v>
      </x:c>
      <x:c r="D1244" s="15" t="str">
        <x:v>Online</x:v>
      </x:c>
      <x:c r="E1244" s="15" t="n">
        <x:v>2</x:v>
      </x:c>
      <x:c r="F1244" s="15" t="n">
        <x:v>0</x:v>
      </x:c>
      <x:c r="G1244" s="19" t="n">
        <x:v>90</x:v>
      </x:c>
      <x:c r="H1244" s="19" t="n">
        <x:v>42</x:v>
      </x:c>
      <x:c r="I1244" s="17" t="n">
        <x:v>0</x:v>
      </x:c>
      <x:c r="J1244" s="19" t="n">
        <x:v>6</x:v>
      </x:c>
      <x:c r="K1244" s="19" t="n">
        <x:f>E1244*G1244</x:f>
        <x:v>180</x:v>
      </x:c>
      <x:c r="L1244" s="19" t="n">
        <x:f>K1244*I1244</x:f>
        <x:v>0</x:v>
      </x:c>
      <x:c r="M1244" s="19" t="n">
        <x:f>(E1244-F1244)*G1244*(1-I1244)</x:f>
        <x:v>180</x:v>
      </x:c>
      <x:c r="N1244" s="19" t="n">
        <x:f>(E1244-F1244)*H1244</x:f>
        <x:v>84</x:v>
      </x:c>
      <x:c r="O1244" s="19" t="n">
        <x:f>F1244*J1244</x:f>
        <x:v>0</x:v>
      </x:c>
      <x:c r="P1244" s="19" t="n">
        <x:f>M1244-N1244-O1244</x:f>
        <x:v>96</x:v>
      </x:c>
    </x:row>
    <x:row r="1245">
      <x:c r="A1245" s="15" t="str">
        <x:v>SIM-1241</x:v>
      </x:c>
      <x:c r="B1245" s="15" t="str">
        <x:v>2026-06</x:v>
      </x:c>
      <x:c r="C1245" s="15" t="str">
        <x:v>Prendas</x:v>
      </x:c>
      <x:c r="D1245" s="15" t="str">
        <x:v>Online</x:v>
      </x:c>
      <x:c r="E1245" s="15" t="n">
        <x:v>1</x:v>
      </x:c>
      <x:c r="F1245" s="15" t="n">
        <x:v>0</x:v>
      </x:c>
      <x:c r="G1245" s="19" t="n">
        <x:v>60</x:v>
      </x:c>
      <x:c r="H1245" s="19" t="n">
        <x:v>24</x:v>
      </x:c>
      <x:c r="I1245" s="17" t="n">
        <x:v>0.2</x:v>
      </x:c>
      <x:c r="J1245" s="19" t="n">
        <x:v>6</x:v>
      </x:c>
      <x:c r="K1245" s="19" t="n">
        <x:f>E1245*G1245</x:f>
        <x:v>60</x:v>
      </x:c>
      <x:c r="L1245" s="19" t="n">
        <x:f>K1245*I1245</x:f>
        <x:v>12</x:v>
      </x:c>
      <x:c r="M1245" s="19" t="n">
        <x:f>(E1245-F1245)*G1245*(1-I1245)</x:f>
        <x:v>48</x:v>
      </x:c>
      <x:c r="N1245" s="19" t="n">
        <x:f>(E1245-F1245)*H1245</x:f>
        <x:v>24</x:v>
      </x:c>
      <x:c r="O1245" s="19" t="n">
        <x:f>F1245*J1245</x:f>
        <x:v>0</x:v>
      </x:c>
      <x:c r="P1245" s="19" t="n">
        <x:f>M1245-N1245-O1245</x:f>
        <x:v>24</x:v>
      </x:c>
    </x:row>
    <x:row r="1246">
      <x:c r="A1246" s="15" t="str">
        <x:v>SIM-1242</x:v>
      </x:c>
      <x:c r="B1246" s="15" t="str">
        <x:v>2026-06</x:v>
      </x:c>
      <x:c r="C1246" s="15" t="str">
        <x:v>Prendas</x:v>
      </x:c>
      <x:c r="D1246" s="15" t="str">
        <x:v>Tienda</x:v>
      </x:c>
      <x:c r="E1246" s="15" t="n">
        <x:v>1</x:v>
      </x:c>
      <x:c r="F1246" s="15" t="n">
        <x:v>0</x:v>
      </x:c>
      <x:c r="G1246" s="19" t="n">
        <x:v>60</x:v>
      </x:c>
      <x:c r="H1246" s="19" t="n">
        <x:v>24</x:v>
      </x:c>
      <x:c r="I1246" s="17" t="n">
        <x:v>0.3</x:v>
      </x:c>
      <x:c r="J1246" s="19" t="n">
        <x:v>2</x:v>
      </x:c>
      <x:c r="K1246" s="19" t="n">
        <x:f>E1246*G1246</x:f>
        <x:v>60</x:v>
      </x:c>
      <x:c r="L1246" s="19" t="n">
        <x:f>K1246*I1246</x:f>
        <x:v>18</x:v>
      </x:c>
      <x:c r="M1246" s="19" t="n">
        <x:f>(E1246-F1246)*G1246*(1-I1246)</x:f>
        <x:v>42</x:v>
      </x:c>
      <x:c r="N1246" s="19" t="n">
        <x:f>(E1246-F1246)*H1246</x:f>
        <x:v>24</x:v>
      </x:c>
      <x:c r="O1246" s="19" t="n">
        <x:f>F1246*J1246</x:f>
        <x:v>0</x:v>
      </x:c>
      <x:c r="P1246" s="19" t="n">
        <x:f>M1246-N1246-O1246</x:f>
        <x:v>18</x:v>
      </x:c>
    </x:row>
    <x:row r="1247">
      <x:c r="A1247" s="15" t="str">
        <x:v>SIM-1243</x:v>
      </x:c>
      <x:c r="B1247" s="15" t="str">
        <x:v>2026-06</x:v>
      </x:c>
      <x:c r="C1247" s="15" t="str">
        <x:v>Calzado</x:v>
      </x:c>
      <x:c r="D1247" s="15" t="str">
        <x:v>Online</x:v>
      </x:c>
      <x:c r="E1247" s="15" t="n">
        <x:v>2</x:v>
      </x:c>
      <x:c r="F1247" s="15" t="n">
        <x:v>0</x:v>
      </x:c>
      <x:c r="G1247" s="19" t="n">
        <x:v>90</x:v>
      </x:c>
      <x:c r="H1247" s="19" t="n">
        <x:v>42</x:v>
      </x:c>
      <x:c r="I1247" s="17" t="n">
        <x:v>0.2</x:v>
      </x:c>
      <x:c r="J1247" s="19" t="n">
        <x:v>6</x:v>
      </x:c>
      <x:c r="K1247" s="19" t="n">
        <x:f>E1247*G1247</x:f>
        <x:v>180</x:v>
      </x:c>
      <x:c r="L1247" s="19" t="n">
        <x:f>K1247*I1247</x:f>
        <x:v>36</x:v>
      </x:c>
      <x:c r="M1247" s="19" t="n">
        <x:f>(E1247-F1247)*G1247*(1-I1247)</x:f>
        <x:v>144</x:v>
      </x:c>
      <x:c r="N1247" s="19" t="n">
        <x:f>(E1247-F1247)*H1247</x:f>
        <x:v>84</x:v>
      </x:c>
      <x:c r="O1247" s="19" t="n">
        <x:f>F1247*J1247</x:f>
        <x:v>0</x:v>
      </x:c>
      <x:c r="P1247" s="19" t="n">
        <x:f>M1247-N1247-O1247</x:f>
        <x:v>60</x:v>
      </x:c>
    </x:row>
    <x:row r="1248">
      <x:c r="A1248" s="15" t="str">
        <x:v>SIM-1244</x:v>
      </x:c>
      <x:c r="B1248" s="15" t="str">
        <x:v>2026-06</x:v>
      </x:c>
      <x:c r="C1248" s="15" t="str">
        <x:v>Calzado</x:v>
      </x:c>
      <x:c r="D1248" s="15" t="str">
        <x:v>Online</x:v>
      </x:c>
      <x:c r="E1248" s="15" t="n">
        <x:v>1</x:v>
      </x:c>
      <x:c r="F1248" s="15" t="n">
        <x:v>0</x:v>
      </x:c>
      <x:c r="G1248" s="19" t="n">
        <x:v>90</x:v>
      </x:c>
      <x:c r="H1248" s="19" t="n">
        <x:v>42</x:v>
      </x:c>
      <x:c r="I1248" s="17" t="n">
        <x:v>0.1</x:v>
      </x:c>
      <x:c r="J1248" s="19" t="n">
        <x:v>6</x:v>
      </x:c>
      <x:c r="K1248" s="19" t="n">
        <x:f>E1248*G1248</x:f>
        <x:v>90</x:v>
      </x:c>
      <x:c r="L1248" s="19" t="n">
        <x:f>K1248*I1248</x:f>
        <x:v>9</x:v>
      </x:c>
      <x:c r="M1248" s="19" t="n">
        <x:f>(E1248-F1248)*G1248*(1-I1248)</x:f>
        <x:v>81</x:v>
      </x:c>
      <x:c r="N1248" s="19" t="n">
        <x:f>(E1248-F1248)*H1248</x:f>
        <x:v>42</x:v>
      </x:c>
      <x:c r="O1248" s="19" t="n">
        <x:f>F1248*J1248</x:f>
        <x:v>0</x:v>
      </x:c>
      <x:c r="P1248" s="19" t="n">
        <x:f>M1248-N1248-O1248</x:f>
        <x:v>39</x:v>
      </x:c>
    </x:row>
    <x:row r="1249">
      <x:c r="A1249" s="15" t="str">
        <x:v>SIM-1245</x:v>
      </x:c>
      <x:c r="B1249" s="15" t="str">
        <x:v>2026-06</x:v>
      </x:c>
      <x:c r="C1249" s="15" t="str">
        <x:v>Prendas</x:v>
      </x:c>
      <x:c r="D1249" s="15" t="str">
        <x:v>Tienda</x:v>
      </x:c>
      <x:c r="E1249" s="15" t="n">
        <x:v>1</x:v>
      </x:c>
      <x:c r="F1249" s="15" t="n">
        <x:v>0</x:v>
      </x:c>
      <x:c r="G1249" s="19" t="n">
        <x:v>60</x:v>
      </x:c>
      <x:c r="H1249" s="19" t="n">
        <x:v>24</x:v>
      </x:c>
      <x:c r="I1249" s="17" t="n">
        <x:v>0.2</x:v>
      </x:c>
      <x:c r="J1249" s="19" t="n">
        <x:v>2</x:v>
      </x:c>
      <x:c r="K1249" s="19" t="n">
        <x:f>E1249*G1249</x:f>
        <x:v>60</x:v>
      </x:c>
      <x:c r="L1249" s="19" t="n">
        <x:f>K1249*I1249</x:f>
        <x:v>12</x:v>
      </x:c>
      <x:c r="M1249" s="19" t="n">
        <x:f>(E1249-F1249)*G1249*(1-I1249)</x:f>
        <x:v>48</x:v>
      </x:c>
      <x:c r="N1249" s="19" t="n">
        <x:f>(E1249-F1249)*H1249</x:f>
        <x:v>24</x:v>
      </x:c>
      <x:c r="O1249" s="19" t="n">
        <x:f>F1249*J1249</x:f>
        <x:v>0</x:v>
      </x:c>
      <x:c r="P1249" s="19" t="n">
        <x:f>M1249-N1249-O1249</x:f>
        <x:v>24</x:v>
      </x:c>
    </x:row>
    <x:row r="1250">
      <x:c r="A1250" s="15" t="str">
        <x:v>SIM-1246</x:v>
      </x:c>
      <x:c r="B1250" s="15" t="str">
        <x:v>2026-06</x:v>
      </x:c>
      <x:c r="C1250" s="15" t="str">
        <x:v>Prendas</x:v>
      </x:c>
      <x:c r="D1250" s="15" t="str">
        <x:v>Online</x:v>
      </x:c>
      <x:c r="E1250" s="15" t="n">
        <x:v>1</x:v>
      </x:c>
      <x:c r="F1250" s="15" t="n">
        <x:v>1</x:v>
      </x:c>
      <x:c r="G1250" s="19" t="n">
        <x:v>60</x:v>
      </x:c>
      <x:c r="H1250" s="19" t="n">
        <x:v>24</x:v>
      </x:c>
      <x:c r="I1250" s="17" t="n">
        <x:v>0.3</x:v>
      </x:c>
      <x:c r="J1250" s="19" t="n">
        <x:v>6</x:v>
      </x:c>
      <x:c r="K1250" s="19" t="n">
        <x:f>E1250*G1250</x:f>
        <x:v>60</x:v>
      </x:c>
      <x:c r="L1250" s="19" t="n">
        <x:f>K1250*I1250</x:f>
        <x:v>18</x:v>
      </x:c>
      <x:c r="M1250" s="19" t="n">
        <x:f>(E1250-F1250)*G1250*(1-I1250)</x:f>
        <x:v>0</x:v>
      </x:c>
      <x:c r="N1250" s="19" t="n">
        <x:f>(E1250-F1250)*H1250</x:f>
        <x:v>0</x:v>
      </x:c>
      <x:c r="O1250" s="19" t="n">
        <x:f>F1250*J1250</x:f>
        <x:v>6</x:v>
      </x:c>
      <x:c r="P1250" s="19" t="n">
        <x:f>M1250-N1250-O1250</x:f>
        <x:v>-6</x:v>
      </x:c>
    </x:row>
    <x:row r="1251">
      <x:c r="A1251" s="15" t="str">
        <x:v>SIM-1247</x:v>
      </x:c>
      <x:c r="B1251" s="15" t="str">
        <x:v>2026-06</x:v>
      </x:c>
      <x:c r="C1251" s="15" t="str">
        <x:v>Prendas</x:v>
      </x:c>
      <x:c r="D1251" s="15" t="str">
        <x:v>Tienda</x:v>
      </x:c>
      <x:c r="E1251" s="15" t="n">
        <x:v>2</x:v>
      </x:c>
      <x:c r="F1251" s="15" t="n">
        <x:v>0</x:v>
      </x:c>
      <x:c r="G1251" s="19" t="n">
        <x:v>60</x:v>
      </x:c>
      <x:c r="H1251" s="19" t="n">
        <x:v>24</x:v>
      </x:c>
      <x:c r="I1251" s="17" t="n">
        <x:v>0.1</x:v>
      </x:c>
      <x:c r="J1251" s="19" t="n">
        <x:v>2</x:v>
      </x:c>
      <x:c r="K1251" s="19" t="n">
        <x:f>E1251*G1251</x:f>
        <x:v>120</x:v>
      </x:c>
      <x:c r="L1251" s="19" t="n">
        <x:f>K1251*I1251</x:f>
        <x:v>12</x:v>
      </x:c>
      <x:c r="M1251" s="19" t="n">
        <x:f>(E1251-F1251)*G1251*(1-I1251)</x:f>
        <x:v>108</x:v>
      </x:c>
      <x:c r="N1251" s="19" t="n">
        <x:f>(E1251-F1251)*H1251</x:f>
        <x:v>48</x:v>
      </x:c>
      <x:c r="O1251" s="19" t="n">
        <x:f>F1251*J1251</x:f>
        <x:v>0</x:v>
      </x:c>
      <x:c r="P1251" s="19" t="n">
        <x:f>M1251-N1251-O1251</x:f>
        <x:v>60</x:v>
      </x:c>
    </x:row>
    <x:row r="1252">
      <x:c r="A1252" s="15" t="str">
        <x:v>SIM-1248</x:v>
      </x:c>
      <x:c r="B1252" s="15" t="str">
        <x:v>2026-06</x:v>
      </x:c>
      <x:c r="C1252" s="15" t="str">
        <x:v>Accesorios</x:v>
      </x:c>
      <x:c r="D1252" s="15" t="str">
        <x:v>Tienda</x:v>
      </x:c>
      <x:c r="E1252" s="15" t="n">
        <x:v>1</x:v>
      </x:c>
      <x:c r="F1252" s="15" t="n">
        <x:v>0</x:v>
      </x:c>
      <x:c r="G1252" s="19" t="n">
        <x:v>30</x:v>
      </x:c>
      <x:c r="H1252" s="19" t="n">
        <x:v>9</x:v>
      </x:c>
      <x:c r="I1252" s="17" t="n">
        <x:v>0.2</x:v>
      </x:c>
      <x:c r="J1252" s="19" t="n">
        <x:v>2</x:v>
      </x:c>
      <x:c r="K1252" s="19" t="n">
        <x:f>E1252*G1252</x:f>
        <x:v>30</x:v>
      </x:c>
      <x:c r="L1252" s="19" t="n">
        <x:f>K1252*I1252</x:f>
        <x:v>6</x:v>
      </x:c>
      <x:c r="M1252" s="19" t="n">
        <x:f>(E1252-F1252)*G1252*(1-I1252)</x:f>
        <x:v>24</x:v>
      </x:c>
      <x:c r="N1252" s="19" t="n">
        <x:f>(E1252-F1252)*H1252</x:f>
        <x:v>9</x:v>
      </x:c>
      <x:c r="O1252" s="19" t="n">
        <x:f>F1252*J1252</x:f>
        <x:v>0</x:v>
      </x:c>
      <x:c r="P1252" s="19" t="n">
        <x:f>M1252-N1252-O1252</x:f>
        <x:v>15</x:v>
      </x:c>
    </x:row>
    <x:row r="1253">
      <x:c r="A1253" s="15" t="str">
        <x:v>SIM-1249</x:v>
      </x:c>
      <x:c r="B1253" s="15" t="str">
        <x:v>2026-06</x:v>
      </x:c>
      <x:c r="C1253" s="15" t="str">
        <x:v>Prendas</x:v>
      </x:c>
      <x:c r="D1253" s="15" t="str">
        <x:v>Tienda</x:v>
      </x:c>
      <x:c r="E1253" s="15" t="n">
        <x:v>1</x:v>
      </x:c>
      <x:c r="F1253" s="15" t="n">
        <x:v>0</x:v>
      </x:c>
      <x:c r="G1253" s="19" t="n">
        <x:v>60</x:v>
      </x:c>
      <x:c r="H1253" s="19" t="n">
        <x:v>24</x:v>
      </x:c>
      <x:c r="I1253" s="17" t="n">
        <x:v>0.3</x:v>
      </x:c>
      <x:c r="J1253" s="19" t="n">
        <x:v>2</x:v>
      </x:c>
      <x:c r="K1253" s="19" t="n">
        <x:f>E1253*G1253</x:f>
        <x:v>60</x:v>
      </x:c>
      <x:c r="L1253" s="19" t="n">
        <x:f>K1253*I1253</x:f>
        <x:v>18</x:v>
      </x:c>
      <x:c r="M1253" s="19" t="n">
        <x:f>(E1253-F1253)*G1253*(1-I1253)</x:f>
        <x:v>42</x:v>
      </x:c>
      <x:c r="N1253" s="19" t="n">
        <x:f>(E1253-F1253)*H1253</x:f>
        <x:v>24</x:v>
      </x:c>
      <x:c r="O1253" s="19" t="n">
        <x:f>F1253*J1253</x:f>
        <x:v>0</x:v>
      </x:c>
      <x:c r="P1253" s="19" t="n">
        <x:f>M1253-N1253-O1253</x:f>
        <x:v>18</x:v>
      </x:c>
    </x:row>
    <x:row r="1254">
      <x:c r="A1254" s="15" t="str">
        <x:v>SIM-1250</x:v>
      </x:c>
      <x:c r="B1254" s="15" t="str">
        <x:v>2026-06</x:v>
      </x:c>
      <x:c r="C1254" s="15" t="str">
        <x:v>Prendas</x:v>
      </x:c>
      <x:c r="D1254" s="15" t="str">
        <x:v>Online</x:v>
      </x:c>
      <x:c r="E1254" s="15" t="n">
        <x:v>1</x:v>
      </x:c>
      <x:c r="F1254" s="15" t="n">
        <x:v>0</x:v>
      </x:c>
      <x:c r="G1254" s="19" t="n">
        <x:v>60</x:v>
      </x:c>
      <x:c r="H1254" s="19" t="n">
        <x:v>24</x:v>
      </x:c>
      <x:c r="I1254" s="17" t="n">
        <x:v>0</x:v>
      </x:c>
      <x:c r="J1254" s="19" t="n">
        <x:v>6</x:v>
      </x:c>
      <x:c r="K1254" s="19" t="n">
        <x:f>E1254*G1254</x:f>
        <x:v>60</x:v>
      </x:c>
      <x:c r="L1254" s="19" t="n">
        <x:f>K1254*I1254</x:f>
        <x:v>0</x:v>
      </x:c>
      <x:c r="M1254" s="19" t="n">
        <x:f>(E1254-F1254)*G1254*(1-I1254)</x:f>
        <x:v>60</x:v>
      </x:c>
      <x:c r="N1254" s="19" t="n">
        <x:f>(E1254-F1254)*H1254</x:f>
        <x:v>24</x:v>
      </x:c>
      <x:c r="O1254" s="19" t="n">
        <x:f>F1254*J1254</x:f>
        <x:v>0</x:v>
      </x:c>
      <x:c r="P1254" s="19" t="n">
        <x:f>M1254-N1254-O1254</x:f>
        <x:v>36</x:v>
      </x:c>
    </x:row>
    <x:row r="1255">
      <x:c r="A1255" s="15" t="str">
        <x:v>SIM-1251</x:v>
      </x:c>
      <x:c r="B1255" s="15" t="str">
        <x:v>2026-06</x:v>
      </x:c>
      <x:c r="C1255" s="15" t="str">
        <x:v>Accesorios</x:v>
      </x:c>
      <x:c r="D1255" s="15" t="str">
        <x:v>Tienda</x:v>
      </x:c>
      <x:c r="E1255" s="15" t="n">
        <x:v>1</x:v>
      </x:c>
      <x:c r="F1255" s="15" t="n">
        <x:v>0</x:v>
      </x:c>
      <x:c r="G1255" s="19" t="n">
        <x:v>30</x:v>
      </x:c>
      <x:c r="H1255" s="19" t="n">
        <x:v>9</x:v>
      </x:c>
      <x:c r="I1255" s="17" t="n">
        <x:v>0.3</x:v>
      </x:c>
      <x:c r="J1255" s="19" t="n">
        <x:v>2</x:v>
      </x:c>
      <x:c r="K1255" s="19" t="n">
        <x:f>E1255*G1255</x:f>
        <x:v>30</x:v>
      </x:c>
      <x:c r="L1255" s="19" t="n">
        <x:f>K1255*I1255</x:f>
        <x:v>9</x:v>
      </x:c>
      <x:c r="M1255" s="19" t="n">
        <x:f>(E1255-F1255)*G1255*(1-I1255)</x:f>
        <x:v>21</x:v>
      </x:c>
      <x:c r="N1255" s="19" t="n">
        <x:f>(E1255-F1255)*H1255</x:f>
        <x:v>9</x:v>
      </x:c>
      <x:c r="O1255" s="19" t="n">
        <x:f>F1255*J1255</x:f>
        <x:v>0</x:v>
      </x:c>
      <x:c r="P1255" s="19" t="n">
        <x:f>M1255-N1255-O1255</x:f>
        <x:v>12</x:v>
      </x:c>
    </x:row>
    <x:row r="1256">
      <x:c r="A1256" s="15" t="str">
        <x:v>SIM-1252</x:v>
      </x:c>
      <x:c r="B1256" s="15" t="str">
        <x:v>2026-06</x:v>
      </x:c>
      <x:c r="C1256" s="15" t="str">
        <x:v>Calzado</x:v>
      </x:c>
      <x:c r="D1256" s="15" t="str">
        <x:v>Online</x:v>
      </x:c>
      <x:c r="E1256" s="15" t="n">
        <x:v>1</x:v>
      </x:c>
      <x:c r="F1256" s="15" t="n">
        <x:v>0</x:v>
      </x:c>
      <x:c r="G1256" s="19" t="n">
        <x:v>90</x:v>
      </x:c>
      <x:c r="H1256" s="19" t="n">
        <x:v>42</x:v>
      </x:c>
      <x:c r="I1256" s="17" t="n">
        <x:v>0.2</x:v>
      </x:c>
      <x:c r="J1256" s="19" t="n">
        <x:v>6</x:v>
      </x:c>
      <x:c r="K1256" s="19" t="n">
        <x:f>E1256*G1256</x:f>
        <x:v>90</x:v>
      </x:c>
      <x:c r="L1256" s="19" t="n">
        <x:f>K1256*I1256</x:f>
        <x:v>18</x:v>
      </x:c>
      <x:c r="M1256" s="19" t="n">
        <x:f>(E1256-F1256)*G1256*(1-I1256)</x:f>
        <x:v>72</x:v>
      </x:c>
      <x:c r="N1256" s="19" t="n">
        <x:f>(E1256-F1256)*H1256</x:f>
        <x:v>42</x:v>
      </x:c>
      <x:c r="O1256" s="19" t="n">
        <x:f>F1256*J1256</x:f>
        <x:v>0</x:v>
      </x:c>
      <x:c r="P1256" s="19" t="n">
        <x:f>M1256-N1256-O1256</x:f>
        <x:v>30</x:v>
      </x:c>
    </x:row>
    <x:row r="1257">
      <x:c r="A1257" s="15" t="str">
        <x:v>SIM-1253</x:v>
      </x:c>
      <x:c r="B1257" s="15" t="str">
        <x:v>2026-06</x:v>
      </x:c>
      <x:c r="C1257" s="15" t="str">
        <x:v>Prendas</x:v>
      </x:c>
      <x:c r="D1257" s="15" t="str">
        <x:v>Online</x:v>
      </x:c>
      <x:c r="E1257" s="15" t="n">
        <x:v>1</x:v>
      </x:c>
      <x:c r="F1257" s="15" t="n">
        <x:v>0</x:v>
      </x:c>
      <x:c r="G1257" s="19" t="n">
        <x:v>60</x:v>
      </x:c>
      <x:c r="H1257" s="19" t="n">
        <x:v>24</x:v>
      </x:c>
      <x:c r="I1257" s="17" t="n">
        <x:v>0.1</x:v>
      </x:c>
      <x:c r="J1257" s="19" t="n">
        <x:v>6</x:v>
      </x:c>
      <x:c r="K1257" s="19" t="n">
        <x:f>E1257*G1257</x:f>
        <x:v>60</x:v>
      </x:c>
      <x:c r="L1257" s="19" t="n">
        <x:f>K1257*I1257</x:f>
        <x:v>6</x:v>
      </x:c>
      <x:c r="M1257" s="19" t="n">
        <x:f>(E1257-F1257)*G1257*(1-I1257)</x:f>
        <x:v>54</x:v>
      </x:c>
      <x:c r="N1257" s="19" t="n">
        <x:f>(E1257-F1257)*H1257</x:f>
        <x:v>24</x:v>
      </x:c>
      <x:c r="O1257" s="19" t="n">
        <x:f>F1257*J1257</x:f>
        <x:v>0</x:v>
      </x:c>
      <x:c r="P1257" s="19" t="n">
        <x:f>M1257-N1257-O1257</x:f>
        <x:v>30</x:v>
      </x:c>
    </x:row>
    <x:row r="1258">
      <x:c r="A1258" s="15" t="str">
        <x:v>SIM-1254</x:v>
      </x:c>
      <x:c r="B1258" s="15" t="str">
        <x:v>2026-06</x:v>
      </x:c>
      <x:c r="C1258" s="15" t="str">
        <x:v>Prendas</x:v>
      </x:c>
      <x:c r="D1258" s="15" t="str">
        <x:v>Tienda</x:v>
      </x:c>
      <x:c r="E1258" s="15" t="n">
        <x:v>1</x:v>
      </x:c>
      <x:c r="F1258" s="15" t="n">
        <x:v>0</x:v>
      </x:c>
      <x:c r="G1258" s="19" t="n">
        <x:v>60</x:v>
      </x:c>
      <x:c r="H1258" s="19" t="n">
        <x:v>24</x:v>
      </x:c>
      <x:c r="I1258" s="17" t="n">
        <x:v>0.1</x:v>
      </x:c>
      <x:c r="J1258" s="19" t="n">
        <x:v>2</x:v>
      </x:c>
      <x:c r="K1258" s="19" t="n">
        <x:f>E1258*G1258</x:f>
        <x:v>60</x:v>
      </x:c>
      <x:c r="L1258" s="19" t="n">
        <x:f>K1258*I1258</x:f>
        <x:v>6</x:v>
      </x:c>
      <x:c r="M1258" s="19" t="n">
        <x:f>(E1258-F1258)*G1258*(1-I1258)</x:f>
        <x:v>54</x:v>
      </x:c>
      <x:c r="N1258" s="19" t="n">
        <x:f>(E1258-F1258)*H1258</x:f>
        <x:v>24</x:v>
      </x:c>
      <x:c r="O1258" s="19" t="n">
        <x:f>F1258*J1258</x:f>
        <x:v>0</x:v>
      </x:c>
      <x:c r="P1258" s="19" t="n">
        <x:f>M1258-N1258-O1258</x:f>
        <x:v>30</x:v>
      </x:c>
    </x:row>
    <x:row r="1259">
      <x:c r="A1259" s="15" t="str">
        <x:v>SIM-1255</x:v>
      </x:c>
      <x:c r="B1259" s="15" t="str">
        <x:v>2026-06</x:v>
      </x:c>
      <x:c r="C1259" s="15" t="str">
        <x:v>Calzado</x:v>
      </x:c>
      <x:c r="D1259" s="15" t="str">
        <x:v>Tienda</x:v>
      </x:c>
      <x:c r="E1259" s="15" t="n">
        <x:v>1</x:v>
      </x:c>
      <x:c r="F1259" s="15" t="n">
        <x:v>0</x:v>
      </x:c>
      <x:c r="G1259" s="19" t="n">
        <x:v>90</x:v>
      </x:c>
      <x:c r="H1259" s="19" t="n">
        <x:v>42</x:v>
      </x:c>
      <x:c r="I1259" s="17" t="n">
        <x:v>0.3</x:v>
      </x:c>
      <x:c r="J1259" s="19" t="n">
        <x:v>2</x:v>
      </x:c>
      <x:c r="K1259" s="19" t="n">
        <x:f>E1259*G1259</x:f>
        <x:v>90</x:v>
      </x:c>
      <x:c r="L1259" s="19" t="n">
        <x:f>K1259*I1259</x:f>
        <x:v>27</x:v>
      </x:c>
      <x:c r="M1259" s="19" t="n">
        <x:f>(E1259-F1259)*G1259*(1-I1259)</x:f>
        <x:v>62.99999999999999</x:v>
      </x:c>
      <x:c r="N1259" s="19" t="n">
        <x:f>(E1259-F1259)*H1259</x:f>
        <x:v>42</x:v>
      </x:c>
      <x:c r="O1259" s="19" t="n">
        <x:f>F1259*J1259</x:f>
        <x:v>0</x:v>
      </x:c>
      <x:c r="P1259" s="19" t="n">
        <x:f>M1259-N1259-O1259</x:f>
        <x:v>20.999999999999993</x:v>
      </x:c>
    </x:row>
    <x:row r="1260">
      <x:c r="A1260" s="15" t="str">
        <x:v>SIM-1256</x:v>
      </x:c>
      <x:c r="B1260" s="15" t="str">
        <x:v>2026-06</x:v>
      </x:c>
      <x:c r="C1260" s="15" t="str">
        <x:v>Calzado</x:v>
      </x:c>
      <x:c r="D1260" s="15" t="str">
        <x:v>Tienda</x:v>
      </x:c>
      <x:c r="E1260" s="15" t="n">
        <x:v>1</x:v>
      </x:c>
      <x:c r="F1260" s="15" t="n">
        <x:v>0</x:v>
      </x:c>
      <x:c r="G1260" s="19" t="n">
        <x:v>90</x:v>
      </x:c>
      <x:c r="H1260" s="19" t="n">
        <x:v>42</x:v>
      </x:c>
      <x:c r="I1260" s="17" t="n">
        <x:v>0.3</x:v>
      </x:c>
      <x:c r="J1260" s="19" t="n">
        <x:v>2</x:v>
      </x:c>
      <x:c r="K1260" s="19" t="n">
        <x:f>E1260*G1260</x:f>
        <x:v>90</x:v>
      </x:c>
      <x:c r="L1260" s="19" t="n">
        <x:f>K1260*I1260</x:f>
        <x:v>27</x:v>
      </x:c>
      <x:c r="M1260" s="19" t="n">
        <x:f>(E1260-F1260)*G1260*(1-I1260)</x:f>
        <x:v>62.99999999999999</x:v>
      </x:c>
      <x:c r="N1260" s="19" t="n">
        <x:f>(E1260-F1260)*H1260</x:f>
        <x:v>42</x:v>
      </x:c>
      <x:c r="O1260" s="19" t="n">
        <x:f>F1260*J1260</x:f>
        <x:v>0</x:v>
      </x:c>
      <x:c r="P1260" s="19" t="n">
        <x:f>M1260-N1260-O1260</x:f>
        <x:v>20.999999999999993</x:v>
      </x:c>
    </x:row>
    <x:row r="1261">
      <x:c r="A1261" s="15" t="str">
        <x:v>SIM-1257</x:v>
      </x:c>
      <x:c r="B1261" s="15" t="str">
        <x:v>2026-06</x:v>
      </x:c>
      <x:c r="C1261" s="15" t="str">
        <x:v>Calzado</x:v>
      </x:c>
      <x:c r="D1261" s="15" t="str">
        <x:v>Tienda</x:v>
      </x:c>
      <x:c r="E1261" s="15" t="n">
        <x:v>1</x:v>
      </x:c>
      <x:c r="F1261" s="15" t="n">
        <x:v>0</x:v>
      </x:c>
      <x:c r="G1261" s="19" t="n">
        <x:v>90</x:v>
      </x:c>
      <x:c r="H1261" s="19" t="n">
        <x:v>42</x:v>
      </x:c>
      <x:c r="I1261" s="17" t="n">
        <x:v>0</x:v>
      </x:c>
      <x:c r="J1261" s="19" t="n">
        <x:v>2</x:v>
      </x:c>
      <x:c r="K1261" s="19" t="n">
        <x:f>E1261*G1261</x:f>
        <x:v>90</x:v>
      </x:c>
      <x:c r="L1261" s="19" t="n">
        <x:f>K1261*I1261</x:f>
        <x:v>0</x:v>
      </x:c>
      <x:c r="M1261" s="19" t="n">
        <x:f>(E1261-F1261)*G1261*(1-I1261)</x:f>
        <x:v>90</x:v>
      </x:c>
      <x:c r="N1261" s="19" t="n">
        <x:f>(E1261-F1261)*H1261</x:f>
        <x:v>42</x:v>
      </x:c>
      <x:c r="O1261" s="19" t="n">
        <x:f>F1261*J1261</x:f>
        <x:v>0</x:v>
      </x:c>
      <x:c r="P1261" s="19" t="n">
        <x:f>M1261-N1261-O1261</x:f>
        <x:v>48</x:v>
      </x:c>
    </x:row>
    <x:row r="1262">
      <x:c r="A1262" s="15" t="str">
        <x:v>SIM-1258</x:v>
      </x:c>
      <x:c r="B1262" s="15" t="str">
        <x:v>2026-06</x:v>
      </x:c>
      <x:c r="C1262" s="15" t="str">
        <x:v>Prendas</x:v>
      </x:c>
      <x:c r="D1262" s="15" t="str">
        <x:v>Online</x:v>
      </x:c>
      <x:c r="E1262" s="15" t="n">
        <x:v>1</x:v>
      </x:c>
      <x:c r="F1262" s="15" t="n">
        <x:v>0</x:v>
      </x:c>
      <x:c r="G1262" s="19" t="n">
        <x:v>60</x:v>
      </x:c>
      <x:c r="H1262" s="19" t="n">
        <x:v>24</x:v>
      </x:c>
      <x:c r="I1262" s="17" t="n">
        <x:v>0</x:v>
      </x:c>
      <x:c r="J1262" s="19" t="n">
        <x:v>6</x:v>
      </x:c>
      <x:c r="K1262" s="19" t="n">
        <x:f>E1262*G1262</x:f>
        <x:v>60</x:v>
      </x:c>
      <x:c r="L1262" s="19" t="n">
        <x:f>K1262*I1262</x:f>
        <x:v>0</x:v>
      </x:c>
      <x:c r="M1262" s="19" t="n">
        <x:f>(E1262-F1262)*G1262*(1-I1262)</x:f>
        <x:v>60</x:v>
      </x:c>
      <x:c r="N1262" s="19" t="n">
        <x:f>(E1262-F1262)*H1262</x:f>
        <x:v>24</x:v>
      </x:c>
      <x:c r="O1262" s="19" t="n">
        <x:f>F1262*J1262</x:f>
        <x:v>0</x:v>
      </x:c>
      <x:c r="P1262" s="19" t="n">
        <x:f>M1262-N1262-O1262</x:f>
        <x:v>36</x:v>
      </x:c>
    </x:row>
    <x:row r="1263">
      <x:c r="A1263" s="15" t="str">
        <x:v>SIM-1259</x:v>
      </x:c>
      <x:c r="B1263" s="15" t="str">
        <x:v>2026-06</x:v>
      </x:c>
      <x:c r="C1263" s="15" t="str">
        <x:v>Calzado</x:v>
      </x:c>
      <x:c r="D1263" s="15" t="str">
        <x:v>Online</x:v>
      </x:c>
      <x:c r="E1263" s="15" t="n">
        <x:v>3</x:v>
      </x:c>
      <x:c r="F1263" s="15" t="n">
        <x:v>0</x:v>
      </x:c>
      <x:c r="G1263" s="19" t="n">
        <x:v>90</x:v>
      </x:c>
      <x:c r="H1263" s="19" t="n">
        <x:v>42</x:v>
      </x:c>
      <x:c r="I1263" s="17" t="n">
        <x:v>0.2</x:v>
      </x:c>
      <x:c r="J1263" s="19" t="n">
        <x:v>6</x:v>
      </x:c>
      <x:c r="K1263" s="19" t="n">
        <x:f>E1263*G1263</x:f>
        <x:v>270</x:v>
      </x:c>
      <x:c r="L1263" s="19" t="n">
        <x:f>K1263*I1263</x:f>
        <x:v>54</x:v>
      </x:c>
      <x:c r="M1263" s="19" t="n">
        <x:f>(E1263-F1263)*G1263*(1-I1263)</x:f>
        <x:v>216</x:v>
      </x:c>
      <x:c r="N1263" s="19" t="n">
        <x:f>(E1263-F1263)*H1263</x:f>
        <x:v>126</x:v>
      </x:c>
      <x:c r="O1263" s="19" t="n">
        <x:f>F1263*J1263</x:f>
        <x:v>0</x:v>
      </x:c>
      <x:c r="P1263" s="19" t="n">
        <x:f>M1263-N1263-O1263</x:f>
        <x:v>90</x:v>
      </x:c>
    </x:row>
    <x:row r="1264">
      <x:c r="A1264" s="15" t="str">
        <x:v>SIM-1260</x:v>
      </x:c>
      <x:c r="B1264" s="15" t="str">
        <x:v>2026-06</x:v>
      </x:c>
      <x:c r="C1264" s="15" t="str">
        <x:v>Prendas</x:v>
      </x:c>
      <x:c r="D1264" s="15" t="str">
        <x:v>Tienda</x:v>
      </x:c>
      <x:c r="E1264" s="15" t="n">
        <x:v>1</x:v>
      </x:c>
      <x:c r="F1264" s="15" t="n">
        <x:v>0</x:v>
      </x:c>
      <x:c r="G1264" s="19" t="n">
        <x:v>60</x:v>
      </x:c>
      <x:c r="H1264" s="19" t="n">
        <x:v>24</x:v>
      </x:c>
      <x:c r="I1264" s="17" t="n">
        <x:v>0</x:v>
      </x:c>
      <x:c r="J1264" s="19" t="n">
        <x:v>2</x:v>
      </x:c>
      <x:c r="K1264" s="19" t="n">
        <x:f>E1264*G1264</x:f>
        <x:v>60</x:v>
      </x:c>
      <x:c r="L1264" s="19" t="n">
        <x:f>K1264*I1264</x:f>
        <x:v>0</x:v>
      </x:c>
      <x:c r="M1264" s="19" t="n">
        <x:f>(E1264-F1264)*G1264*(1-I1264)</x:f>
        <x:v>60</x:v>
      </x:c>
      <x:c r="N1264" s="19" t="n">
        <x:f>(E1264-F1264)*H1264</x:f>
        <x:v>24</x:v>
      </x:c>
      <x:c r="O1264" s="19" t="n">
        <x:f>F1264*J1264</x:f>
        <x:v>0</x:v>
      </x:c>
      <x:c r="P1264" s="19" t="n">
        <x:f>M1264-N1264-O1264</x:f>
        <x:v>36</x:v>
      </x:c>
    </x:row>
    <x:row r="1265">
      <x:c r="A1265" s="15" t="str">
        <x:v>SIM-1261</x:v>
      </x:c>
      <x:c r="B1265" s="15" t="str">
        <x:v>2026-06</x:v>
      </x:c>
      <x:c r="C1265" s="15" t="str">
        <x:v>Prendas</x:v>
      </x:c>
      <x:c r="D1265" s="15" t="str">
        <x:v>Online</x:v>
      </x:c>
      <x:c r="E1265" s="15" t="n">
        <x:v>2</x:v>
      </x:c>
      <x:c r="F1265" s="15" t="n">
        <x:v>1</x:v>
      </x:c>
      <x:c r="G1265" s="19" t="n">
        <x:v>60</x:v>
      </x:c>
      <x:c r="H1265" s="19" t="n">
        <x:v>24</x:v>
      </x:c>
      <x:c r="I1265" s="17" t="n">
        <x:v>0.3</x:v>
      </x:c>
      <x:c r="J1265" s="19" t="n">
        <x:v>6</x:v>
      </x:c>
      <x:c r="K1265" s="19" t="n">
        <x:f>E1265*G1265</x:f>
        <x:v>120</x:v>
      </x:c>
      <x:c r="L1265" s="19" t="n">
        <x:f>K1265*I1265</x:f>
        <x:v>36</x:v>
      </x:c>
      <x:c r="M1265" s="19" t="n">
        <x:f>(E1265-F1265)*G1265*(1-I1265)</x:f>
        <x:v>42</x:v>
      </x:c>
      <x:c r="N1265" s="19" t="n">
        <x:f>(E1265-F1265)*H1265</x:f>
        <x:v>24</x:v>
      </x:c>
      <x:c r="O1265" s="19" t="n">
        <x:f>F1265*J1265</x:f>
        <x:v>6</x:v>
      </x:c>
      <x:c r="P1265" s="19" t="n">
        <x:f>M1265-N1265-O1265</x:f>
        <x:v>12</x:v>
      </x:c>
    </x:row>
    <x:row r="1266">
      <x:c r="A1266" s="15" t="str">
        <x:v>SIM-1262</x:v>
      </x:c>
      <x:c r="B1266" s="15" t="str">
        <x:v>2026-06</x:v>
      </x:c>
      <x:c r="C1266" s="15" t="str">
        <x:v>Accesorios</x:v>
      </x:c>
      <x:c r="D1266" s="15" t="str">
        <x:v>Online</x:v>
      </x:c>
      <x:c r="E1266" s="15" t="n">
        <x:v>1</x:v>
      </x:c>
      <x:c r="F1266" s="15" t="n">
        <x:v>0</x:v>
      </x:c>
      <x:c r="G1266" s="19" t="n">
        <x:v>30</x:v>
      </x:c>
      <x:c r="H1266" s="19" t="n">
        <x:v>9</x:v>
      </x:c>
      <x:c r="I1266" s="17" t="n">
        <x:v>0</x:v>
      </x:c>
      <x:c r="J1266" s="19" t="n">
        <x:v>6</x:v>
      </x:c>
      <x:c r="K1266" s="19" t="n">
        <x:f>E1266*G1266</x:f>
        <x:v>30</x:v>
      </x:c>
      <x:c r="L1266" s="19" t="n">
        <x:f>K1266*I1266</x:f>
        <x:v>0</x:v>
      </x:c>
      <x:c r="M1266" s="19" t="n">
        <x:f>(E1266-F1266)*G1266*(1-I1266)</x:f>
        <x:v>30</x:v>
      </x:c>
      <x:c r="N1266" s="19" t="n">
        <x:f>(E1266-F1266)*H1266</x:f>
        <x:v>9</x:v>
      </x:c>
      <x:c r="O1266" s="19" t="n">
        <x:f>F1266*J1266</x:f>
        <x:v>0</x:v>
      </x:c>
      <x:c r="P1266" s="19" t="n">
        <x:f>M1266-N1266-O1266</x:f>
        <x:v>21</x:v>
      </x:c>
    </x:row>
    <x:row r="1267">
      <x:c r="A1267" s="15" t="str">
        <x:v>SIM-1263</x:v>
      </x:c>
      <x:c r="B1267" s="15" t="str">
        <x:v>2026-06</x:v>
      </x:c>
      <x:c r="C1267" s="15" t="str">
        <x:v>Accesorios</x:v>
      </x:c>
      <x:c r="D1267" s="15" t="str">
        <x:v>Tienda</x:v>
      </x:c>
      <x:c r="E1267" s="15" t="n">
        <x:v>1</x:v>
      </x:c>
      <x:c r="F1267" s="15" t="n">
        <x:v>0</x:v>
      </x:c>
      <x:c r="G1267" s="19" t="n">
        <x:v>30</x:v>
      </x:c>
      <x:c r="H1267" s="19" t="n">
        <x:v>9</x:v>
      </x:c>
      <x:c r="I1267" s="17" t="n">
        <x:v>0.3</x:v>
      </x:c>
      <x:c r="J1267" s="19" t="n">
        <x:v>2</x:v>
      </x:c>
      <x:c r="K1267" s="19" t="n">
        <x:f>E1267*G1267</x:f>
        <x:v>30</x:v>
      </x:c>
      <x:c r="L1267" s="19" t="n">
        <x:f>K1267*I1267</x:f>
        <x:v>9</x:v>
      </x:c>
      <x:c r="M1267" s="19" t="n">
        <x:f>(E1267-F1267)*G1267*(1-I1267)</x:f>
        <x:v>21</x:v>
      </x:c>
      <x:c r="N1267" s="19" t="n">
        <x:f>(E1267-F1267)*H1267</x:f>
        <x:v>9</x:v>
      </x:c>
      <x:c r="O1267" s="19" t="n">
        <x:f>F1267*J1267</x:f>
        <x:v>0</x:v>
      </x:c>
      <x:c r="P1267" s="19" t="n">
        <x:f>M1267-N1267-O1267</x:f>
        <x:v>12</x:v>
      </x:c>
    </x:row>
    <x:row r="1268">
      <x:c r="A1268" s="15" t="str">
        <x:v>SIM-1264</x:v>
      </x:c>
      <x:c r="B1268" s="15" t="str">
        <x:v>2026-06</x:v>
      </x:c>
      <x:c r="C1268" s="15" t="str">
        <x:v>Prendas</x:v>
      </x:c>
      <x:c r="D1268" s="15" t="str">
        <x:v>Online</x:v>
      </x:c>
      <x:c r="E1268" s="15" t="n">
        <x:v>1</x:v>
      </x:c>
      <x:c r="F1268" s="15" t="n">
        <x:v>0</x:v>
      </x:c>
      <x:c r="G1268" s="19" t="n">
        <x:v>60</x:v>
      </x:c>
      <x:c r="H1268" s="19" t="n">
        <x:v>24</x:v>
      </x:c>
      <x:c r="I1268" s="17" t="n">
        <x:v>0.3</x:v>
      </x:c>
      <x:c r="J1268" s="19" t="n">
        <x:v>6</x:v>
      </x:c>
      <x:c r="K1268" s="19" t="n">
        <x:f>E1268*G1268</x:f>
        <x:v>60</x:v>
      </x:c>
      <x:c r="L1268" s="19" t="n">
        <x:f>K1268*I1268</x:f>
        <x:v>18</x:v>
      </x:c>
      <x:c r="M1268" s="19" t="n">
        <x:f>(E1268-F1268)*G1268*(1-I1268)</x:f>
        <x:v>42</x:v>
      </x:c>
      <x:c r="N1268" s="19" t="n">
        <x:f>(E1268-F1268)*H1268</x:f>
        <x:v>24</x:v>
      </x:c>
      <x:c r="O1268" s="19" t="n">
        <x:f>F1268*J1268</x:f>
        <x:v>0</x:v>
      </x:c>
      <x:c r="P1268" s="19" t="n">
        <x:f>M1268-N1268-O1268</x:f>
        <x:v>18</x:v>
      </x:c>
    </x:row>
    <x:row r="1269">
      <x:c r="A1269" s="15" t="str">
        <x:v>SIM-1265</x:v>
      </x:c>
      <x:c r="B1269" s="15" t="str">
        <x:v>2026-06</x:v>
      </x:c>
      <x:c r="C1269" s="15" t="str">
        <x:v>Accesorios</x:v>
      </x:c>
      <x:c r="D1269" s="15" t="str">
        <x:v>Tienda</x:v>
      </x:c>
      <x:c r="E1269" s="15" t="n">
        <x:v>1</x:v>
      </x:c>
      <x:c r="F1269" s="15" t="n">
        <x:v>0</x:v>
      </x:c>
      <x:c r="G1269" s="19" t="n">
        <x:v>30</x:v>
      </x:c>
      <x:c r="H1269" s="19" t="n">
        <x:v>9</x:v>
      </x:c>
      <x:c r="I1269" s="17" t="n">
        <x:v>0.1</x:v>
      </x:c>
      <x:c r="J1269" s="19" t="n">
        <x:v>2</x:v>
      </x:c>
      <x:c r="K1269" s="19" t="n">
        <x:f>E1269*G1269</x:f>
        <x:v>30</x:v>
      </x:c>
      <x:c r="L1269" s="19" t="n">
        <x:f>K1269*I1269</x:f>
        <x:v>3</x:v>
      </x:c>
      <x:c r="M1269" s="19" t="n">
        <x:f>(E1269-F1269)*G1269*(1-I1269)</x:f>
        <x:v>27</x:v>
      </x:c>
      <x:c r="N1269" s="19" t="n">
        <x:f>(E1269-F1269)*H1269</x:f>
        <x:v>9</x:v>
      </x:c>
      <x:c r="O1269" s="19" t="n">
        <x:f>F1269*J1269</x:f>
        <x:v>0</x:v>
      </x:c>
      <x:c r="P1269" s="19" t="n">
        <x:f>M1269-N1269-O1269</x:f>
        <x:v>18</x:v>
      </x:c>
    </x:row>
    <x:row r="1270">
      <x:c r="A1270" s="15" t="str">
        <x:v>SIM-1266</x:v>
      </x:c>
      <x:c r="B1270" s="15" t="str">
        <x:v>2026-06</x:v>
      </x:c>
      <x:c r="C1270" s="15" t="str">
        <x:v>Calzado</x:v>
      </x:c>
      <x:c r="D1270" s="15" t="str">
        <x:v>Online</x:v>
      </x:c>
      <x:c r="E1270" s="15" t="n">
        <x:v>1</x:v>
      </x:c>
      <x:c r="F1270" s="15" t="n">
        <x:v>0</x:v>
      </x:c>
      <x:c r="G1270" s="19" t="n">
        <x:v>90</x:v>
      </x:c>
      <x:c r="H1270" s="19" t="n">
        <x:v>42</x:v>
      </x:c>
      <x:c r="I1270" s="17" t="n">
        <x:v>0</x:v>
      </x:c>
      <x:c r="J1270" s="19" t="n">
        <x:v>6</x:v>
      </x:c>
      <x:c r="K1270" s="19" t="n">
        <x:f>E1270*G1270</x:f>
        <x:v>90</x:v>
      </x:c>
      <x:c r="L1270" s="19" t="n">
        <x:f>K1270*I1270</x:f>
        <x:v>0</x:v>
      </x:c>
      <x:c r="M1270" s="19" t="n">
        <x:f>(E1270-F1270)*G1270*(1-I1270)</x:f>
        <x:v>90</x:v>
      </x:c>
      <x:c r="N1270" s="19" t="n">
        <x:f>(E1270-F1270)*H1270</x:f>
        <x:v>42</x:v>
      </x:c>
      <x:c r="O1270" s="19" t="n">
        <x:f>F1270*J1270</x:f>
        <x:v>0</x:v>
      </x:c>
      <x:c r="P1270" s="19" t="n">
        <x:f>M1270-N1270-O1270</x:f>
        <x:v>48</x:v>
      </x:c>
    </x:row>
    <x:row r="1271">
      <x:c r="A1271" s="15" t="str">
        <x:v>SIM-1267</x:v>
      </x:c>
      <x:c r="B1271" s="15" t="str">
        <x:v>2026-06</x:v>
      </x:c>
      <x:c r="C1271" s="15" t="str">
        <x:v>Prendas</x:v>
      </x:c>
      <x:c r="D1271" s="15" t="str">
        <x:v>Tienda</x:v>
      </x:c>
      <x:c r="E1271" s="15" t="n">
        <x:v>2</x:v>
      </x:c>
      <x:c r="F1271" s="15" t="n">
        <x:v>0</x:v>
      </x:c>
      <x:c r="G1271" s="19" t="n">
        <x:v>60</x:v>
      </x:c>
      <x:c r="H1271" s="19" t="n">
        <x:v>24</x:v>
      </x:c>
      <x:c r="I1271" s="17" t="n">
        <x:v>0</x:v>
      </x:c>
      <x:c r="J1271" s="19" t="n">
        <x:v>2</x:v>
      </x:c>
      <x:c r="K1271" s="19" t="n">
        <x:f>E1271*G1271</x:f>
        <x:v>120</x:v>
      </x:c>
      <x:c r="L1271" s="19" t="n">
        <x:f>K1271*I1271</x:f>
        <x:v>0</x:v>
      </x:c>
      <x:c r="M1271" s="19" t="n">
        <x:f>(E1271-F1271)*G1271*(1-I1271)</x:f>
        <x:v>120</x:v>
      </x:c>
      <x:c r="N1271" s="19" t="n">
        <x:f>(E1271-F1271)*H1271</x:f>
        <x:v>48</x:v>
      </x:c>
      <x:c r="O1271" s="19" t="n">
        <x:f>F1271*J1271</x:f>
        <x:v>0</x:v>
      </x:c>
      <x:c r="P1271" s="19" t="n">
        <x:f>M1271-N1271-O1271</x:f>
        <x:v>72</x:v>
      </x:c>
    </x:row>
    <x:row r="1272">
      <x:c r="A1272" s="15" t="str">
        <x:v>SIM-1268</x:v>
      </x:c>
      <x:c r="B1272" s="15" t="str">
        <x:v>2026-06</x:v>
      </x:c>
      <x:c r="C1272" s="15" t="str">
        <x:v>Accesorios</x:v>
      </x:c>
      <x:c r="D1272" s="15" t="str">
        <x:v>Tienda</x:v>
      </x:c>
      <x:c r="E1272" s="15" t="n">
        <x:v>1</x:v>
      </x:c>
      <x:c r="F1272" s="15" t="n">
        <x:v>0</x:v>
      </x:c>
      <x:c r="G1272" s="19" t="n">
        <x:v>30</x:v>
      </x:c>
      <x:c r="H1272" s="19" t="n">
        <x:v>9</x:v>
      </x:c>
      <x:c r="I1272" s="17" t="n">
        <x:v>0.2</x:v>
      </x:c>
      <x:c r="J1272" s="19" t="n">
        <x:v>2</x:v>
      </x:c>
      <x:c r="K1272" s="19" t="n">
        <x:f>E1272*G1272</x:f>
        <x:v>30</x:v>
      </x:c>
      <x:c r="L1272" s="19" t="n">
        <x:f>K1272*I1272</x:f>
        <x:v>6</x:v>
      </x:c>
      <x:c r="M1272" s="19" t="n">
        <x:f>(E1272-F1272)*G1272*(1-I1272)</x:f>
        <x:v>24</x:v>
      </x:c>
      <x:c r="N1272" s="19" t="n">
        <x:f>(E1272-F1272)*H1272</x:f>
        <x:v>9</x:v>
      </x:c>
      <x:c r="O1272" s="19" t="n">
        <x:f>F1272*J1272</x:f>
        <x:v>0</x:v>
      </x:c>
      <x:c r="P1272" s="19" t="n">
        <x:f>M1272-N1272-O1272</x:f>
        <x:v>15</x:v>
      </x:c>
    </x:row>
    <x:row r="1273">
      <x:c r="A1273" s="15" t="str">
        <x:v>SIM-1269</x:v>
      </x:c>
      <x:c r="B1273" s="15" t="str">
        <x:v>2026-06</x:v>
      </x:c>
      <x:c r="C1273" s="15" t="str">
        <x:v>Calzado</x:v>
      </x:c>
      <x:c r="D1273" s="15" t="str">
        <x:v>Online</x:v>
      </x:c>
      <x:c r="E1273" s="15" t="n">
        <x:v>1</x:v>
      </x:c>
      <x:c r="F1273" s="15" t="n">
        <x:v>0</x:v>
      </x:c>
      <x:c r="G1273" s="19" t="n">
        <x:v>90</x:v>
      </x:c>
      <x:c r="H1273" s="19" t="n">
        <x:v>42</x:v>
      </x:c>
      <x:c r="I1273" s="17" t="n">
        <x:v>0</x:v>
      </x:c>
      <x:c r="J1273" s="19" t="n">
        <x:v>6</x:v>
      </x:c>
      <x:c r="K1273" s="19" t="n">
        <x:f>E1273*G1273</x:f>
        <x:v>90</x:v>
      </x:c>
      <x:c r="L1273" s="19" t="n">
        <x:f>K1273*I1273</x:f>
        <x:v>0</x:v>
      </x:c>
      <x:c r="M1273" s="19" t="n">
        <x:f>(E1273-F1273)*G1273*(1-I1273)</x:f>
        <x:v>90</x:v>
      </x:c>
      <x:c r="N1273" s="19" t="n">
        <x:f>(E1273-F1273)*H1273</x:f>
        <x:v>42</x:v>
      </x:c>
      <x:c r="O1273" s="19" t="n">
        <x:f>F1273*J1273</x:f>
        <x:v>0</x:v>
      </x:c>
      <x:c r="P1273" s="19" t="n">
        <x:f>M1273-N1273-O1273</x:f>
        <x:v>48</x:v>
      </x:c>
    </x:row>
    <x:row r="1274">
      <x:c r="A1274" s="15" t="str">
        <x:v>SIM-1270</x:v>
      </x:c>
      <x:c r="B1274" s="15" t="str">
        <x:v>2026-06</x:v>
      </x:c>
      <x:c r="C1274" s="15" t="str">
        <x:v>Calzado</x:v>
      </x:c>
      <x:c r="D1274" s="15" t="str">
        <x:v>Tienda</x:v>
      </x:c>
      <x:c r="E1274" s="15" t="n">
        <x:v>1</x:v>
      </x:c>
      <x:c r="F1274" s="15" t="n">
        <x:v>0</x:v>
      </x:c>
      <x:c r="G1274" s="19" t="n">
        <x:v>90</x:v>
      </x:c>
      <x:c r="H1274" s="19" t="n">
        <x:v>42</x:v>
      </x:c>
      <x:c r="I1274" s="17" t="n">
        <x:v>0.3</x:v>
      </x:c>
      <x:c r="J1274" s="19" t="n">
        <x:v>2</x:v>
      </x:c>
      <x:c r="K1274" s="19" t="n">
        <x:f>E1274*G1274</x:f>
        <x:v>90</x:v>
      </x:c>
      <x:c r="L1274" s="19" t="n">
        <x:f>K1274*I1274</x:f>
        <x:v>27</x:v>
      </x:c>
      <x:c r="M1274" s="19" t="n">
        <x:f>(E1274-F1274)*G1274*(1-I1274)</x:f>
        <x:v>62.99999999999999</x:v>
      </x:c>
      <x:c r="N1274" s="19" t="n">
        <x:f>(E1274-F1274)*H1274</x:f>
        <x:v>42</x:v>
      </x:c>
      <x:c r="O1274" s="19" t="n">
        <x:f>F1274*J1274</x:f>
        <x:v>0</x:v>
      </x:c>
      <x:c r="P1274" s="19" t="n">
        <x:f>M1274-N1274-O1274</x:f>
        <x:v>20.999999999999993</x:v>
      </x:c>
    </x:row>
    <x:row r="1275">
      <x:c r="A1275" s="15" t="str">
        <x:v>SIM-1271</x:v>
      </x:c>
      <x:c r="B1275" s="15" t="str">
        <x:v>2026-06</x:v>
      </x:c>
      <x:c r="C1275" s="15" t="str">
        <x:v>Prendas</x:v>
      </x:c>
      <x:c r="D1275" s="15" t="str">
        <x:v>Online</x:v>
      </x:c>
      <x:c r="E1275" s="15" t="n">
        <x:v>2</x:v>
      </x:c>
      <x:c r="F1275" s="15" t="n">
        <x:v>0</x:v>
      </x:c>
      <x:c r="G1275" s="19" t="n">
        <x:v>60</x:v>
      </x:c>
      <x:c r="H1275" s="19" t="n">
        <x:v>24</x:v>
      </x:c>
      <x:c r="I1275" s="17" t="n">
        <x:v>0.1</x:v>
      </x:c>
      <x:c r="J1275" s="19" t="n">
        <x:v>6</x:v>
      </x:c>
      <x:c r="K1275" s="19" t="n">
        <x:f>E1275*G1275</x:f>
        <x:v>120</x:v>
      </x:c>
      <x:c r="L1275" s="19" t="n">
        <x:f>K1275*I1275</x:f>
        <x:v>12</x:v>
      </x:c>
      <x:c r="M1275" s="19" t="n">
        <x:f>(E1275-F1275)*G1275*(1-I1275)</x:f>
        <x:v>108</x:v>
      </x:c>
      <x:c r="N1275" s="19" t="n">
        <x:f>(E1275-F1275)*H1275</x:f>
        <x:v>48</x:v>
      </x:c>
      <x:c r="O1275" s="19" t="n">
        <x:f>F1275*J1275</x:f>
        <x:v>0</x:v>
      </x:c>
      <x:c r="P1275" s="19" t="n">
        <x:f>M1275-N1275-O1275</x:f>
        <x:v>60</x:v>
      </x:c>
    </x:row>
    <x:row r="1276">
      <x:c r="A1276" s="15" t="str">
        <x:v>SIM-1272</x:v>
      </x:c>
      <x:c r="B1276" s="15" t="str">
        <x:v>2026-06</x:v>
      </x:c>
      <x:c r="C1276" s="15" t="str">
        <x:v>Prendas</x:v>
      </x:c>
      <x:c r="D1276" s="15" t="str">
        <x:v>Tienda</x:v>
      </x:c>
      <x:c r="E1276" s="15" t="n">
        <x:v>1</x:v>
      </x:c>
      <x:c r="F1276" s="15" t="n">
        <x:v>0</x:v>
      </x:c>
      <x:c r="G1276" s="19" t="n">
        <x:v>60</x:v>
      </x:c>
      <x:c r="H1276" s="19" t="n">
        <x:v>24</x:v>
      </x:c>
      <x:c r="I1276" s="17" t="n">
        <x:v>0.1</x:v>
      </x:c>
      <x:c r="J1276" s="19" t="n">
        <x:v>2</x:v>
      </x:c>
      <x:c r="K1276" s="19" t="n">
        <x:f>E1276*G1276</x:f>
        <x:v>60</x:v>
      </x:c>
      <x:c r="L1276" s="19" t="n">
        <x:f>K1276*I1276</x:f>
        <x:v>6</x:v>
      </x:c>
      <x:c r="M1276" s="19" t="n">
        <x:f>(E1276-F1276)*G1276*(1-I1276)</x:f>
        <x:v>54</x:v>
      </x:c>
      <x:c r="N1276" s="19" t="n">
        <x:f>(E1276-F1276)*H1276</x:f>
        <x:v>24</x:v>
      </x:c>
      <x:c r="O1276" s="19" t="n">
        <x:f>F1276*J1276</x:f>
        <x:v>0</x:v>
      </x:c>
      <x:c r="P1276" s="19" t="n">
        <x:f>M1276-N1276-O1276</x:f>
        <x:v>30</x:v>
      </x:c>
    </x:row>
    <x:row r="1277">
      <x:c r="A1277" s="15" t="str">
        <x:v>SIM-1273</x:v>
      </x:c>
      <x:c r="B1277" s="15" t="str">
        <x:v>2026-06</x:v>
      </x:c>
      <x:c r="C1277" s="15" t="str">
        <x:v>Prendas</x:v>
      </x:c>
      <x:c r="D1277" s="15" t="str">
        <x:v>Tienda</x:v>
      </x:c>
      <x:c r="E1277" s="15" t="n">
        <x:v>2</x:v>
      </x:c>
      <x:c r="F1277" s="15" t="n">
        <x:v>0</x:v>
      </x:c>
      <x:c r="G1277" s="19" t="n">
        <x:v>60</x:v>
      </x:c>
      <x:c r="H1277" s="19" t="n">
        <x:v>24</x:v>
      </x:c>
      <x:c r="I1277" s="17" t="n">
        <x:v>0</x:v>
      </x:c>
      <x:c r="J1277" s="19" t="n">
        <x:v>2</x:v>
      </x:c>
      <x:c r="K1277" s="19" t="n">
        <x:f>E1277*G1277</x:f>
        <x:v>120</x:v>
      </x:c>
      <x:c r="L1277" s="19" t="n">
        <x:f>K1277*I1277</x:f>
        <x:v>0</x:v>
      </x:c>
      <x:c r="M1277" s="19" t="n">
        <x:f>(E1277-F1277)*G1277*(1-I1277)</x:f>
        <x:v>120</x:v>
      </x:c>
      <x:c r="N1277" s="19" t="n">
        <x:f>(E1277-F1277)*H1277</x:f>
        <x:v>48</x:v>
      </x:c>
      <x:c r="O1277" s="19" t="n">
        <x:f>F1277*J1277</x:f>
        <x:v>0</x:v>
      </x:c>
      <x:c r="P1277" s="19" t="n">
        <x:f>M1277-N1277-O1277</x:f>
        <x:v>72</x:v>
      </x:c>
    </x:row>
    <x:row r="1278">
      <x:c r="A1278" s="15" t="str">
        <x:v>SIM-1274</x:v>
      </x:c>
      <x:c r="B1278" s="15" t="str">
        <x:v>2026-06</x:v>
      </x:c>
      <x:c r="C1278" s="15" t="str">
        <x:v>Prendas</x:v>
      </x:c>
      <x:c r="D1278" s="15" t="str">
        <x:v>Tienda</x:v>
      </x:c>
      <x:c r="E1278" s="15" t="n">
        <x:v>2</x:v>
      </x:c>
      <x:c r="F1278" s="15" t="n">
        <x:v>0</x:v>
      </x:c>
      <x:c r="G1278" s="19" t="n">
        <x:v>60</x:v>
      </x:c>
      <x:c r="H1278" s="19" t="n">
        <x:v>24</x:v>
      </x:c>
      <x:c r="I1278" s="17" t="n">
        <x:v>0.1</x:v>
      </x:c>
      <x:c r="J1278" s="19" t="n">
        <x:v>2</x:v>
      </x:c>
      <x:c r="K1278" s="19" t="n">
        <x:f>E1278*G1278</x:f>
        <x:v>120</x:v>
      </x:c>
      <x:c r="L1278" s="19" t="n">
        <x:f>K1278*I1278</x:f>
        <x:v>12</x:v>
      </x:c>
      <x:c r="M1278" s="19" t="n">
        <x:f>(E1278-F1278)*G1278*(1-I1278)</x:f>
        <x:v>108</x:v>
      </x:c>
      <x:c r="N1278" s="19" t="n">
        <x:f>(E1278-F1278)*H1278</x:f>
        <x:v>48</x:v>
      </x:c>
      <x:c r="O1278" s="19" t="n">
        <x:f>F1278*J1278</x:f>
        <x:v>0</x:v>
      </x:c>
      <x:c r="P1278" s="19" t="n">
        <x:f>M1278-N1278-O1278</x:f>
        <x:v>60</x:v>
      </x:c>
    </x:row>
    <x:row r="1279">
      <x:c r="A1279" s="15" t="str">
        <x:v>SIM-1275</x:v>
      </x:c>
      <x:c r="B1279" s="15" t="str">
        <x:v>2026-06</x:v>
      </x:c>
      <x:c r="C1279" s="15" t="str">
        <x:v>Prendas</x:v>
      </x:c>
      <x:c r="D1279" s="15" t="str">
        <x:v>Online</x:v>
      </x:c>
      <x:c r="E1279" s="15" t="n">
        <x:v>2</x:v>
      </x:c>
      <x:c r="F1279" s="15" t="n">
        <x:v>0</x:v>
      </x:c>
      <x:c r="G1279" s="19" t="n">
        <x:v>60</x:v>
      </x:c>
      <x:c r="H1279" s="19" t="n">
        <x:v>24</x:v>
      </x:c>
      <x:c r="I1279" s="17" t="n">
        <x:v>0.3</x:v>
      </x:c>
      <x:c r="J1279" s="19" t="n">
        <x:v>6</x:v>
      </x:c>
      <x:c r="K1279" s="19" t="n">
        <x:f>E1279*G1279</x:f>
        <x:v>120</x:v>
      </x:c>
      <x:c r="L1279" s="19" t="n">
        <x:f>K1279*I1279</x:f>
        <x:v>36</x:v>
      </x:c>
      <x:c r="M1279" s="19" t="n">
        <x:f>(E1279-F1279)*G1279*(1-I1279)</x:f>
        <x:v>84</x:v>
      </x:c>
      <x:c r="N1279" s="19" t="n">
        <x:f>(E1279-F1279)*H1279</x:f>
        <x:v>48</x:v>
      </x:c>
      <x:c r="O1279" s="19" t="n">
        <x:f>F1279*J1279</x:f>
        <x:v>0</x:v>
      </x:c>
      <x:c r="P1279" s="19" t="n">
        <x:f>M1279-N1279-O1279</x:f>
        <x:v>36</x:v>
      </x:c>
    </x:row>
    <x:row r="1280">
      <x:c r="A1280" s="15" t="str">
        <x:v>SIM-1276</x:v>
      </x:c>
      <x:c r="B1280" s="15" t="str">
        <x:v>2026-06</x:v>
      </x:c>
      <x:c r="C1280" s="15" t="str">
        <x:v>Prendas</x:v>
      </x:c>
      <x:c r="D1280" s="15" t="str">
        <x:v>Tienda</x:v>
      </x:c>
      <x:c r="E1280" s="15" t="n">
        <x:v>1</x:v>
      </x:c>
      <x:c r="F1280" s="15" t="n">
        <x:v>0</x:v>
      </x:c>
      <x:c r="G1280" s="19" t="n">
        <x:v>60</x:v>
      </x:c>
      <x:c r="H1280" s="19" t="n">
        <x:v>24</x:v>
      </x:c>
      <x:c r="I1280" s="17" t="n">
        <x:v>0.3</x:v>
      </x:c>
      <x:c r="J1280" s="19" t="n">
        <x:v>2</x:v>
      </x:c>
      <x:c r="K1280" s="19" t="n">
        <x:f>E1280*G1280</x:f>
        <x:v>60</x:v>
      </x:c>
      <x:c r="L1280" s="19" t="n">
        <x:f>K1280*I1280</x:f>
        <x:v>18</x:v>
      </x:c>
      <x:c r="M1280" s="19" t="n">
        <x:f>(E1280-F1280)*G1280*(1-I1280)</x:f>
        <x:v>42</x:v>
      </x:c>
      <x:c r="N1280" s="19" t="n">
        <x:f>(E1280-F1280)*H1280</x:f>
        <x:v>24</x:v>
      </x:c>
      <x:c r="O1280" s="19" t="n">
        <x:f>F1280*J1280</x:f>
        <x:v>0</x:v>
      </x:c>
      <x:c r="P1280" s="19" t="n">
        <x:f>M1280-N1280-O1280</x:f>
        <x:v>18</x:v>
      </x:c>
    </x:row>
    <x:row r="1281">
      <x:c r="A1281" s="15" t="str">
        <x:v>SIM-1277</x:v>
      </x:c>
      <x:c r="B1281" s="15" t="str">
        <x:v>2026-06</x:v>
      </x:c>
      <x:c r="C1281" s="15" t="str">
        <x:v>Prendas</x:v>
      </x:c>
      <x:c r="D1281" s="15" t="str">
        <x:v>Online</x:v>
      </x:c>
      <x:c r="E1281" s="15" t="n">
        <x:v>1</x:v>
      </x:c>
      <x:c r="F1281" s="15" t="n">
        <x:v>0</x:v>
      </x:c>
      <x:c r="G1281" s="19" t="n">
        <x:v>60</x:v>
      </x:c>
      <x:c r="H1281" s="19" t="n">
        <x:v>24</x:v>
      </x:c>
      <x:c r="I1281" s="17" t="n">
        <x:v>0.3</x:v>
      </x:c>
      <x:c r="J1281" s="19" t="n">
        <x:v>6</x:v>
      </x:c>
      <x:c r="K1281" s="19" t="n">
        <x:f>E1281*G1281</x:f>
        <x:v>60</x:v>
      </x:c>
      <x:c r="L1281" s="19" t="n">
        <x:f>K1281*I1281</x:f>
        <x:v>18</x:v>
      </x:c>
      <x:c r="M1281" s="19" t="n">
        <x:f>(E1281-F1281)*G1281*(1-I1281)</x:f>
        <x:v>42</x:v>
      </x:c>
      <x:c r="N1281" s="19" t="n">
        <x:f>(E1281-F1281)*H1281</x:f>
        <x:v>24</x:v>
      </x:c>
      <x:c r="O1281" s="19" t="n">
        <x:f>F1281*J1281</x:f>
        <x:v>0</x:v>
      </x:c>
      <x:c r="P1281" s="19" t="n">
        <x:f>M1281-N1281-O1281</x:f>
        <x:v>18</x:v>
      </x:c>
    </x:row>
    <x:row r="1282">
      <x:c r="A1282" s="15" t="str">
        <x:v>SIM-1278</x:v>
      </x:c>
      <x:c r="B1282" s="15" t="str">
        <x:v>2026-06</x:v>
      </x:c>
      <x:c r="C1282" s="15" t="str">
        <x:v>Prendas</x:v>
      </x:c>
      <x:c r="D1282" s="15" t="str">
        <x:v>Tienda</x:v>
      </x:c>
      <x:c r="E1282" s="15" t="n">
        <x:v>1</x:v>
      </x:c>
      <x:c r="F1282" s="15" t="n">
        <x:v>0</x:v>
      </x:c>
      <x:c r="G1282" s="19" t="n">
        <x:v>60</x:v>
      </x:c>
      <x:c r="H1282" s="19" t="n">
        <x:v>24</x:v>
      </x:c>
      <x:c r="I1282" s="17" t="n">
        <x:v>0.3</x:v>
      </x:c>
      <x:c r="J1282" s="19" t="n">
        <x:v>2</x:v>
      </x:c>
      <x:c r="K1282" s="19" t="n">
        <x:f>E1282*G1282</x:f>
        <x:v>60</x:v>
      </x:c>
      <x:c r="L1282" s="19" t="n">
        <x:f>K1282*I1282</x:f>
        <x:v>18</x:v>
      </x:c>
      <x:c r="M1282" s="19" t="n">
        <x:f>(E1282-F1282)*G1282*(1-I1282)</x:f>
        <x:v>42</x:v>
      </x:c>
      <x:c r="N1282" s="19" t="n">
        <x:f>(E1282-F1282)*H1282</x:f>
        <x:v>24</x:v>
      </x:c>
      <x:c r="O1282" s="19" t="n">
        <x:f>F1282*J1282</x:f>
        <x:v>0</x:v>
      </x:c>
      <x:c r="P1282" s="19" t="n">
        <x:f>M1282-N1282-O1282</x:f>
        <x:v>18</x:v>
      </x:c>
    </x:row>
    <x:row r="1283">
      <x:c r="A1283" s="15" t="str">
        <x:v>SIM-1279</x:v>
      </x:c>
      <x:c r="B1283" s="15" t="str">
        <x:v>2026-06</x:v>
      </x:c>
      <x:c r="C1283" s="15" t="str">
        <x:v>Prendas</x:v>
      </x:c>
      <x:c r="D1283" s="15" t="str">
        <x:v>Online</x:v>
      </x:c>
      <x:c r="E1283" s="15" t="n">
        <x:v>1</x:v>
      </x:c>
      <x:c r="F1283" s="15" t="n">
        <x:v>0</x:v>
      </x:c>
      <x:c r="G1283" s="19" t="n">
        <x:v>60</x:v>
      </x:c>
      <x:c r="H1283" s="19" t="n">
        <x:v>24</x:v>
      </x:c>
      <x:c r="I1283" s="17" t="n">
        <x:v>0</x:v>
      </x:c>
      <x:c r="J1283" s="19" t="n">
        <x:v>6</x:v>
      </x:c>
      <x:c r="K1283" s="19" t="n">
        <x:f>E1283*G1283</x:f>
        <x:v>60</x:v>
      </x:c>
      <x:c r="L1283" s="19" t="n">
        <x:f>K1283*I1283</x:f>
        <x:v>0</x:v>
      </x:c>
      <x:c r="M1283" s="19" t="n">
        <x:f>(E1283-F1283)*G1283*(1-I1283)</x:f>
        <x:v>60</x:v>
      </x:c>
      <x:c r="N1283" s="19" t="n">
        <x:f>(E1283-F1283)*H1283</x:f>
        <x:v>24</x:v>
      </x:c>
      <x:c r="O1283" s="19" t="n">
        <x:f>F1283*J1283</x:f>
        <x:v>0</x:v>
      </x:c>
      <x:c r="P1283" s="19" t="n">
        <x:f>M1283-N1283-O1283</x:f>
        <x:v>36</x:v>
      </x:c>
    </x:row>
    <x:row r="1284">
      <x:c r="A1284" s="15" t="str">
        <x:v>SIM-1280</x:v>
      </x:c>
      <x:c r="B1284" s="15" t="str">
        <x:v>2026-06</x:v>
      </x:c>
      <x:c r="C1284" s="15" t="str">
        <x:v>Prendas</x:v>
      </x:c>
      <x:c r="D1284" s="15" t="str">
        <x:v>Online</x:v>
      </x:c>
      <x:c r="E1284" s="15" t="n">
        <x:v>1</x:v>
      </x:c>
      <x:c r="F1284" s="15" t="n">
        <x:v>0</x:v>
      </x:c>
      <x:c r="G1284" s="19" t="n">
        <x:v>60</x:v>
      </x:c>
      <x:c r="H1284" s="19" t="n">
        <x:v>24</x:v>
      </x:c>
      <x:c r="I1284" s="17" t="n">
        <x:v>0.1</x:v>
      </x:c>
      <x:c r="J1284" s="19" t="n">
        <x:v>6</x:v>
      </x:c>
      <x:c r="K1284" s="19" t="n">
        <x:f>E1284*G1284</x:f>
        <x:v>60</x:v>
      </x:c>
      <x:c r="L1284" s="19" t="n">
        <x:f>K1284*I1284</x:f>
        <x:v>6</x:v>
      </x:c>
      <x:c r="M1284" s="19" t="n">
        <x:f>(E1284-F1284)*G1284*(1-I1284)</x:f>
        <x:v>54</x:v>
      </x:c>
      <x:c r="N1284" s="19" t="n">
        <x:f>(E1284-F1284)*H1284</x:f>
        <x:v>24</x:v>
      </x:c>
      <x:c r="O1284" s="19" t="n">
        <x:f>F1284*J1284</x:f>
        <x:v>0</x:v>
      </x:c>
      <x:c r="P1284" s="19" t="n">
        <x:f>M1284-N1284-O1284</x:f>
        <x:v>30</x:v>
      </x:c>
    </x:row>
    <x:row r="1285">
      <x:c r="A1285" s="15" t="str">
        <x:v>SIM-1281</x:v>
      </x:c>
      <x:c r="B1285" s="15" t="str">
        <x:v>2026-06</x:v>
      </x:c>
      <x:c r="C1285" s="15" t="str">
        <x:v>Prendas</x:v>
      </x:c>
      <x:c r="D1285" s="15" t="str">
        <x:v>Tienda</x:v>
      </x:c>
      <x:c r="E1285" s="15" t="n">
        <x:v>1</x:v>
      </x:c>
      <x:c r="F1285" s="15" t="n">
        <x:v>0</x:v>
      </x:c>
      <x:c r="G1285" s="19" t="n">
        <x:v>60</x:v>
      </x:c>
      <x:c r="H1285" s="19" t="n">
        <x:v>24</x:v>
      </x:c>
      <x:c r="I1285" s="17" t="n">
        <x:v>0.2</x:v>
      </x:c>
      <x:c r="J1285" s="19" t="n">
        <x:v>2</x:v>
      </x:c>
      <x:c r="K1285" s="19" t="n">
        <x:f>E1285*G1285</x:f>
        <x:v>60</x:v>
      </x:c>
      <x:c r="L1285" s="19" t="n">
        <x:f>K1285*I1285</x:f>
        <x:v>12</x:v>
      </x:c>
      <x:c r="M1285" s="19" t="n">
        <x:f>(E1285-F1285)*G1285*(1-I1285)</x:f>
        <x:v>48</x:v>
      </x:c>
      <x:c r="N1285" s="19" t="n">
        <x:f>(E1285-F1285)*H1285</x:f>
        <x:v>24</x:v>
      </x:c>
      <x:c r="O1285" s="19" t="n">
        <x:f>F1285*J1285</x:f>
        <x:v>0</x:v>
      </x:c>
      <x:c r="P1285" s="19" t="n">
        <x:f>M1285-N1285-O1285</x:f>
        <x:v>24</x:v>
      </x:c>
    </x:row>
    <x:row r="1286">
      <x:c r="A1286" s="15" t="str">
        <x:v>SIM-1282</x:v>
      </x:c>
      <x:c r="B1286" s="15" t="str">
        <x:v>2026-06</x:v>
      </x:c>
      <x:c r="C1286" s="15" t="str">
        <x:v>Prendas</x:v>
      </x:c>
      <x:c r="D1286" s="15" t="str">
        <x:v>Tienda</x:v>
      </x:c>
      <x:c r="E1286" s="15" t="n">
        <x:v>1</x:v>
      </x:c>
      <x:c r="F1286" s="15" t="n">
        <x:v>0</x:v>
      </x:c>
      <x:c r="G1286" s="19" t="n">
        <x:v>60</x:v>
      </x:c>
      <x:c r="H1286" s="19" t="n">
        <x:v>24</x:v>
      </x:c>
      <x:c r="I1286" s="17" t="n">
        <x:v>0.1</x:v>
      </x:c>
      <x:c r="J1286" s="19" t="n">
        <x:v>2</x:v>
      </x:c>
      <x:c r="K1286" s="19" t="n">
        <x:f>E1286*G1286</x:f>
        <x:v>60</x:v>
      </x:c>
      <x:c r="L1286" s="19" t="n">
        <x:f>K1286*I1286</x:f>
        <x:v>6</x:v>
      </x:c>
      <x:c r="M1286" s="19" t="n">
        <x:f>(E1286-F1286)*G1286*(1-I1286)</x:f>
        <x:v>54</x:v>
      </x:c>
      <x:c r="N1286" s="19" t="n">
        <x:f>(E1286-F1286)*H1286</x:f>
        <x:v>24</x:v>
      </x:c>
      <x:c r="O1286" s="19" t="n">
        <x:f>F1286*J1286</x:f>
        <x:v>0</x:v>
      </x:c>
      <x:c r="P1286" s="19" t="n">
        <x:f>M1286-N1286-O1286</x:f>
        <x:v>30</x:v>
      </x:c>
    </x:row>
    <x:row r="1287">
      <x:c r="A1287" s="15" t="str">
        <x:v>SIM-1283</x:v>
      </x:c>
      <x:c r="B1287" s="15" t="str">
        <x:v>2026-06</x:v>
      </x:c>
      <x:c r="C1287" s="15" t="str">
        <x:v>Prendas</x:v>
      </x:c>
      <x:c r="D1287" s="15" t="str">
        <x:v>Online</x:v>
      </x:c>
      <x:c r="E1287" s="15" t="n">
        <x:v>1</x:v>
      </x:c>
      <x:c r="F1287" s="15" t="n">
        <x:v>0</x:v>
      </x:c>
      <x:c r="G1287" s="19" t="n">
        <x:v>60</x:v>
      </x:c>
      <x:c r="H1287" s="19" t="n">
        <x:v>24</x:v>
      </x:c>
      <x:c r="I1287" s="17" t="n">
        <x:v>0.3</x:v>
      </x:c>
      <x:c r="J1287" s="19" t="n">
        <x:v>6</x:v>
      </x:c>
      <x:c r="K1287" s="19" t="n">
        <x:f>E1287*G1287</x:f>
        <x:v>60</x:v>
      </x:c>
      <x:c r="L1287" s="19" t="n">
        <x:f>K1287*I1287</x:f>
        <x:v>18</x:v>
      </x:c>
      <x:c r="M1287" s="19" t="n">
        <x:f>(E1287-F1287)*G1287*(1-I1287)</x:f>
        <x:v>42</x:v>
      </x:c>
      <x:c r="N1287" s="19" t="n">
        <x:f>(E1287-F1287)*H1287</x:f>
        <x:v>24</x:v>
      </x:c>
      <x:c r="O1287" s="19" t="n">
        <x:f>F1287*J1287</x:f>
        <x:v>0</x:v>
      </x:c>
      <x:c r="P1287" s="19" t="n">
        <x:f>M1287-N1287-O1287</x:f>
        <x:v>18</x:v>
      </x:c>
    </x:row>
    <x:row r="1288">
      <x:c r="A1288" s="15" t="str">
        <x:v>SIM-1284</x:v>
      </x:c>
      <x:c r="B1288" s="15" t="str">
        <x:v>2026-06</x:v>
      </x:c>
      <x:c r="C1288" s="15" t="str">
        <x:v>Prendas</x:v>
      </x:c>
      <x:c r="D1288" s="15" t="str">
        <x:v>Online</x:v>
      </x:c>
      <x:c r="E1288" s="15" t="n">
        <x:v>1</x:v>
      </x:c>
      <x:c r="F1288" s="15" t="n">
        <x:v>0</x:v>
      </x:c>
      <x:c r="G1288" s="19" t="n">
        <x:v>60</x:v>
      </x:c>
      <x:c r="H1288" s="19" t="n">
        <x:v>24</x:v>
      </x:c>
      <x:c r="I1288" s="17" t="n">
        <x:v>0.1</x:v>
      </x:c>
      <x:c r="J1288" s="19" t="n">
        <x:v>6</x:v>
      </x:c>
      <x:c r="K1288" s="19" t="n">
        <x:f>E1288*G1288</x:f>
        <x:v>60</x:v>
      </x:c>
      <x:c r="L1288" s="19" t="n">
        <x:f>K1288*I1288</x:f>
        <x:v>6</x:v>
      </x:c>
      <x:c r="M1288" s="19" t="n">
        <x:f>(E1288-F1288)*G1288*(1-I1288)</x:f>
        <x:v>54</x:v>
      </x:c>
      <x:c r="N1288" s="19" t="n">
        <x:f>(E1288-F1288)*H1288</x:f>
        <x:v>24</x:v>
      </x:c>
      <x:c r="O1288" s="19" t="n">
        <x:f>F1288*J1288</x:f>
        <x:v>0</x:v>
      </x:c>
      <x:c r="P1288" s="19" t="n">
        <x:f>M1288-N1288-O1288</x:f>
        <x:v>30</x:v>
      </x:c>
    </x:row>
    <x:row r="1289">
      <x:c r="A1289" s="15" t="str">
        <x:v>SIM-1285</x:v>
      </x:c>
      <x:c r="B1289" s="15" t="str">
        <x:v>2026-06</x:v>
      </x:c>
      <x:c r="C1289" s="15" t="str">
        <x:v>Calzado</x:v>
      </x:c>
      <x:c r="D1289" s="15" t="str">
        <x:v>Tienda</x:v>
      </x:c>
      <x:c r="E1289" s="15" t="n">
        <x:v>1</x:v>
      </x:c>
      <x:c r="F1289" s="15" t="n">
        <x:v>0</x:v>
      </x:c>
      <x:c r="G1289" s="19" t="n">
        <x:v>90</x:v>
      </x:c>
      <x:c r="H1289" s="19" t="n">
        <x:v>42</x:v>
      </x:c>
      <x:c r="I1289" s="17" t="n">
        <x:v>0</x:v>
      </x:c>
      <x:c r="J1289" s="19" t="n">
        <x:v>2</x:v>
      </x:c>
      <x:c r="K1289" s="19" t="n">
        <x:f>E1289*G1289</x:f>
        <x:v>90</x:v>
      </x:c>
      <x:c r="L1289" s="19" t="n">
        <x:f>K1289*I1289</x:f>
        <x:v>0</x:v>
      </x:c>
      <x:c r="M1289" s="19" t="n">
        <x:f>(E1289-F1289)*G1289*(1-I1289)</x:f>
        <x:v>90</x:v>
      </x:c>
      <x:c r="N1289" s="19" t="n">
        <x:f>(E1289-F1289)*H1289</x:f>
        <x:v>42</x:v>
      </x:c>
      <x:c r="O1289" s="19" t="n">
        <x:f>F1289*J1289</x:f>
        <x:v>0</x:v>
      </x:c>
      <x:c r="P1289" s="19" t="n">
        <x:f>M1289-N1289-O1289</x:f>
        <x:v>48</x:v>
      </x:c>
    </x:row>
    <x:row r="1290">
      <x:c r="A1290" s="15" t="str">
        <x:v>SIM-1286</x:v>
      </x:c>
      <x:c r="B1290" s="15" t="str">
        <x:v>2026-06</x:v>
      </x:c>
      <x:c r="C1290" s="15" t="str">
        <x:v>Prendas</x:v>
      </x:c>
      <x:c r="D1290" s="15" t="str">
        <x:v>Online</x:v>
      </x:c>
      <x:c r="E1290" s="15" t="n">
        <x:v>1</x:v>
      </x:c>
      <x:c r="F1290" s="15" t="n">
        <x:v>1</x:v>
      </x:c>
      <x:c r="G1290" s="19" t="n">
        <x:v>60</x:v>
      </x:c>
      <x:c r="H1290" s="19" t="n">
        <x:v>24</x:v>
      </x:c>
      <x:c r="I1290" s="17" t="n">
        <x:v>0.3</x:v>
      </x:c>
      <x:c r="J1290" s="19" t="n">
        <x:v>6</x:v>
      </x:c>
      <x:c r="K1290" s="19" t="n">
        <x:f>E1290*G1290</x:f>
        <x:v>60</x:v>
      </x:c>
      <x:c r="L1290" s="19" t="n">
        <x:f>K1290*I1290</x:f>
        <x:v>18</x:v>
      </x:c>
      <x:c r="M1290" s="19" t="n">
        <x:f>(E1290-F1290)*G1290*(1-I1290)</x:f>
        <x:v>0</x:v>
      </x:c>
      <x:c r="N1290" s="19" t="n">
        <x:f>(E1290-F1290)*H1290</x:f>
        <x:v>0</x:v>
      </x:c>
      <x:c r="O1290" s="19" t="n">
        <x:f>F1290*J1290</x:f>
        <x:v>6</x:v>
      </x:c>
      <x:c r="P1290" s="19" t="n">
        <x:f>M1290-N1290-O1290</x:f>
        <x:v>-6</x:v>
      </x:c>
    </x:row>
    <x:row r="1291">
      <x:c r="A1291" s="15" t="str">
        <x:v>SIM-1287</x:v>
      </x:c>
      <x:c r="B1291" s="15" t="str">
        <x:v>2026-06</x:v>
      </x:c>
      <x:c r="C1291" s="15" t="str">
        <x:v>Prendas</x:v>
      </x:c>
      <x:c r="D1291" s="15" t="str">
        <x:v>Online</x:v>
      </x:c>
      <x:c r="E1291" s="15" t="n">
        <x:v>1</x:v>
      </x:c>
      <x:c r="F1291" s="15" t="n">
        <x:v>0</x:v>
      </x:c>
      <x:c r="G1291" s="19" t="n">
        <x:v>60</x:v>
      </x:c>
      <x:c r="H1291" s="19" t="n">
        <x:v>24</x:v>
      </x:c>
      <x:c r="I1291" s="17" t="n">
        <x:v>0.1</x:v>
      </x:c>
      <x:c r="J1291" s="19" t="n">
        <x:v>6</x:v>
      </x:c>
      <x:c r="K1291" s="19" t="n">
        <x:f>E1291*G1291</x:f>
        <x:v>60</x:v>
      </x:c>
      <x:c r="L1291" s="19" t="n">
        <x:f>K1291*I1291</x:f>
        <x:v>6</x:v>
      </x:c>
      <x:c r="M1291" s="19" t="n">
        <x:f>(E1291-F1291)*G1291*(1-I1291)</x:f>
        <x:v>54</x:v>
      </x:c>
      <x:c r="N1291" s="19" t="n">
        <x:f>(E1291-F1291)*H1291</x:f>
        <x:v>24</x:v>
      </x:c>
      <x:c r="O1291" s="19" t="n">
        <x:f>F1291*J1291</x:f>
        <x:v>0</x:v>
      </x:c>
      <x:c r="P1291" s="19" t="n">
        <x:f>M1291-N1291-O1291</x:f>
        <x:v>30</x:v>
      </x:c>
    </x:row>
    <x:row r="1292">
      <x:c r="A1292" s="15" t="str">
        <x:v>SIM-1288</x:v>
      </x:c>
      <x:c r="B1292" s="15" t="str">
        <x:v>2026-06</x:v>
      </x:c>
      <x:c r="C1292" s="15" t="str">
        <x:v>Calzado</x:v>
      </x:c>
      <x:c r="D1292" s="15" t="str">
        <x:v>Online</x:v>
      </x:c>
      <x:c r="E1292" s="15" t="n">
        <x:v>1</x:v>
      </x:c>
      <x:c r="F1292" s="15" t="n">
        <x:v>1</x:v>
      </x:c>
      <x:c r="G1292" s="19" t="n">
        <x:v>90</x:v>
      </x:c>
      <x:c r="H1292" s="19" t="n">
        <x:v>42</x:v>
      </x:c>
      <x:c r="I1292" s="17" t="n">
        <x:v>0</x:v>
      </x:c>
      <x:c r="J1292" s="19" t="n">
        <x:v>6</x:v>
      </x:c>
      <x:c r="K1292" s="19" t="n">
        <x:f>E1292*G1292</x:f>
        <x:v>90</x:v>
      </x:c>
      <x:c r="L1292" s="19" t="n">
        <x:f>K1292*I1292</x:f>
        <x:v>0</x:v>
      </x:c>
      <x:c r="M1292" s="19" t="n">
        <x:f>(E1292-F1292)*G1292*(1-I1292)</x:f>
        <x:v>0</x:v>
      </x:c>
      <x:c r="N1292" s="19" t="n">
        <x:f>(E1292-F1292)*H1292</x:f>
        <x:v>0</x:v>
      </x:c>
      <x:c r="O1292" s="19" t="n">
        <x:f>F1292*J1292</x:f>
        <x:v>6</x:v>
      </x:c>
      <x:c r="P1292" s="19" t="n">
        <x:f>M1292-N1292-O1292</x:f>
        <x:v>-6</x:v>
      </x:c>
    </x:row>
    <x:row r="1293">
      <x:c r="A1293" s="15" t="str">
        <x:v>SIM-1289</x:v>
      </x:c>
      <x:c r="B1293" s="15" t="str">
        <x:v>2026-06</x:v>
      </x:c>
      <x:c r="C1293" s="15" t="str">
        <x:v>Prendas</x:v>
      </x:c>
      <x:c r="D1293" s="15" t="str">
        <x:v>Tienda</x:v>
      </x:c>
      <x:c r="E1293" s="15" t="n">
        <x:v>2</x:v>
      </x:c>
      <x:c r="F1293" s="15" t="n">
        <x:v>0</x:v>
      </x:c>
      <x:c r="G1293" s="19" t="n">
        <x:v>60</x:v>
      </x:c>
      <x:c r="H1293" s="19" t="n">
        <x:v>24</x:v>
      </x:c>
      <x:c r="I1293" s="17" t="n">
        <x:v>0.3</x:v>
      </x:c>
      <x:c r="J1293" s="19" t="n">
        <x:v>2</x:v>
      </x:c>
      <x:c r="K1293" s="19" t="n">
        <x:f>E1293*G1293</x:f>
        <x:v>120</x:v>
      </x:c>
      <x:c r="L1293" s="19" t="n">
        <x:f>K1293*I1293</x:f>
        <x:v>36</x:v>
      </x:c>
      <x:c r="M1293" s="19" t="n">
        <x:f>(E1293-F1293)*G1293*(1-I1293)</x:f>
        <x:v>84</x:v>
      </x:c>
      <x:c r="N1293" s="19" t="n">
        <x:f>(E1293-F1293)*H1293</x:f>
        <x:v>48</x:v>
      </x:c>
      <x:c r="O1293" s="19" t="n">
        <x:f>F1293*J1293</x:f>
        <x:v>0</x:v>
      </x:c>
      <x:c r="P1293" s="19" t="n">
        <x:f>M1293-N1293-O1293</x:f>
        <x:v>36</x:v>
      </x:c>
    </x:row>
    <x:row r="1294">
      <x:c r="A1294" s="15" t="str">
        <x:v>SIM-1290</x:v>
      </x:c>
      <x:c r="B1294" s="15" t="str">
        <x:v>2026-06</x:v>
      </x:c>
      <x:c r="C1294" s="15" t="str">
        <x:v>Accesorios</x:v>
      </x:c>
      <x:c r="D1294" s="15" t="str">
        <x:v>Online</x:v>
      </x:c>
      <x:c r="E1294" s="15" t="n">
        <x:v>1</x:v>
      </x:c>
      <x:c r="F1294" s="15" t="n">
        <x:v>0</x:v>
      </x:c>
      <x:c r="G1294" s="19" t="n">
        <x:v>30</x:v>
      </x:c>
      <x:c r="H1294" s="19" t="n">
        <x:v>9</x:v>
      </x:c>
      <x:c r="I1294" s="17" t="n">
        <x:v>0.1</x:v>
      </x:c>
      <x:c r="J1294" s="19" t="n">
        <x:v>6</x:v>
      </x:c>
      <x:c r="K1294" s="19" t="n">
        <x:f>E1294*G1294</x:f>
        <x:v>30</x:v>
      </x:c>
      <x:c r="L1294" s="19" t="n">
        <x:f>K1294*I1294</x:f>
        <x:v>3</x:v>
      </x:c>
      <x:c r="M1294" s="19" t="n">
        <x:f>(E1294-F1294)*G1294*(1-I1294)</x:f>
        <x:v>27</x:v>
      </x:c>
      <x:c r="N1294" s="19" t="n">
        <x:f>(E1294-F1294)*H1294</x:f>
        <x:v>9</x:v>
      </x:c>
      <x:c r="O1294" s="19" t="n">
        <x:f>F1294*J1294</x:f>
        <x:v>0</x:v>
      </x:c>
      <x:c r="P1294" s="19" t="n">
        <x:f>M1294-N1294-O1294</x:f>
        <x:v>18</x:v>
      </x:c>
    </x:row>
    <x:row r="1295">
      <x:c r="A1295" s="15" t="str">
        <x:v>SIM-1291</x:v>
      </x:c>
      <x:c r="B1295" s="15" t="str">
        <x:v>2026-06</x:v>
      </x:c>
      <x:c r="C1295" s="15" t="str">
        <x:v>Prendas</x:v>
      </x:c>
      <x:c r="D1295" s="15" t="str">
        <x:v>Online</x:v>
      </x:c>
      <x:c r="E1295" s="15" t="n">
        <x:v>1</x:v>
      </x:c>
      <x:c r="F1295" s="15" t="n">
        <x:v>1</x:v>
      </x:c>
      <x:c r="G1295" s="19" t="n">
        <x:v>60</x:v>
      </x:c>
      <x:c r="H1295" s="19" t="n">
        <x:v>24</x:v>
      </x:c>
      <x:c r="I1295" s="17" t="n">
        <x:v>0.3</x:v>
      </x:c>
      <x:c r="J1295" s="19" t="n">
        <x:v>6</x:v>
      </x:c>
      <x:c r="K1295" s="19" t="n">
        <x:f>E1295*G1295</x:f>
        <x:v>60</x:v>
      </x:c>
      <x:c r="L1295" s="19" t="n">
        <x:f>K1295*I1295</x:f>
        <x:v>18</x:v>
      </x:c>
      <x:c r="M1295" s="19" t="n">
        <x:f>(E1295-F1295)*G1295*(1-I1295)</x:f>
        <x:v>0</x:v>
      </x:c>
      <x:c r="N1295" s="19" t="n">
        <x:f>(E1295-F1295)*H1295</x:f>
        <x:v>0</x:v>
      </x:c>
      <x:c r="O1295" s="19" t="n">
        <x:f>F1295*J1295</x:f>
        <x:v>6</x:v>
      </x:c>
      <x:c r="P1295" s="19" t="n">
        <x:f>M1295-N1295-O1295</x:f>
        <x:v>-6</x:v>
      </x:c>
    </x:row>
    <x:row r="1296">
      <x:c r="A1296" s="15" t="str">
        <x:v>SIM-1292</x:v>
      </x:c>
      <x:c r="B1296" s="15" t="str">
        <x:v>2026-06</x:v>
      </x:c>
      <x:c r="C1296" s="15" t="str">
        <x:v>Prendas</x:v>
      </x:c>
      <x:c r="D1296" s="15" t="str">
        <x:v>Online</x:v>
      </x:c>
      <x:c r="E1296" s="15" t="n">
        <x:v>3</x:v>
      </x:c>
      <x:c r="F1296" s="15" t="n">
        <x:v>0</x:v>
      </x:c>
      <x:c r="G1296" s="19" t="n">
        <x:v>60</x:v>
      </x:c>
      <x:c r="H1296" s="19" t="n">
        <x:v>24</x:v>
      </x:c>
      <x:c r="I1296" s="17" t="n">
        <x:v>0</x:v>
      </x:c>
      <x:c r="J1296" s="19" t="n">
        <x:v>6</x:v>
      </x:c>
      <x:c r="K1296" s="19" t="n">
        <x:f>E1296*G1296</x:f>
        <x:v>180</x:v>
      </x:c>
      <x:c r="L1296" s="19" t="n">
        <x:f>K1296*I1296</x:f>
        <x:v>0</x:v>
      </x:c>
      <x:c r="M1296" s="19" t="n">
        <x:f>(E1296-F1296)*G1296*(1-I1296)</x:f>
        <x:v>180</x:v>
      </x:c>
      <x:c r="N1296" s="19" t="n">
        <x:f>(E1296-F1296)*H1296</x:f>
        <x:v>72</x:v>
      </x:c>
      <x:c r="O1296" s="19" t="n">
        <x:f>F1296*J1296</x:f>
        <x:v>0</x:v>
      </x:c>
      <x:c r="P1296" s="19" t="n">
        <x:f>M1296-N1296-O1296</x:f>
        <x:v>108</x:v>
      </x:c>
    </x:row>
    <x:row r="1297">
      <x:c r="A1297" s="15" t="str">
        <x:v>SIM-1293</x:v>
      </x:c>
      <x:c r="B1297" s="15" t="str">
        <x:v>2026-06</x:v>
      </x:c>
      <x:c r="C1297" s="15" t="str">
        <x:v>Accesorios</x:v>
      </x:c>
      <x:c r="D1297" s="15" t="str">
        <x:v>Online</x:v>
      </x:c>
      <x:c r="E1297" s="15" t="n">
        <x:v>2</x:v>
      </x:c>
      <x:c r="F1297" s="15" t="n">
        <x:v>0</x:v>
      </x:c>
      <x:c r="G1297" s="19" t="n">
        <x:v>30</x:v>
      </x:c>
      <x:c r="H1297" s="19" t="n">
        <x:v>9</x:v>
      </x:c>
      <x:c r="I1297" s="17" t="n">
        <x:v>0</x:v>
      </x:c>
      <x:c r="J1297" s="19" t="n">
        <x:v>6</x:v>
      </x:c>
      <x:c r="K1297" s="19" t="n">
        <x:f>E1297*G1297</x:f>
        <x:v>60</x:v>
      </x:c>
      <x:c r="L1297" s="19" t="n">
        <x:f>K1297*I1297</x:f>
        <x:v>0</x:v>
      </x:c>
      <x:c r="M1297" s="19" t="n">
        <x:f>(E1297-F1297)*G1297*(1-I1297)</x:f>
        <x:v>60</x:v>
      </x:c>
      <x:c r="N1297" s="19" t="n">
        <x:f>(E1297-F1297)*H1297</x:f>
        <x:v>18</x:v>
      </x:c>
      <x:c r="O1297" s="19" t="n">
        <x:f>F1297*J1297</x:f>
        <x:v>0</x:v>
      </x:c>
      <x:c r="P1297" s="19" t="n">
        <x:f>M1297-N1297-O1297</x:f>
        <x:v>42</x:v>
      </x:c>
    </x:row>
    <x:row r="1298">
      <x:c r="A1298" s="15" t="str">
        <x:v>SIM-1294</x:v>
      </x:c>
      <x:c r="B1298" s="15" t="str">
        <x:v>2026-06</x:v>
      </x:c>
      <x:c r="C1298" s="15" t="str">
        <x:v>Calzado</x:v>
      </x:c>
      <x:c r="D1298" s="15" t="str">
        <x:v>Tienda</x:v>
      </x:c>
      <x:c r="E1298" s="15" t="n">
        <x:v>1</x:v>
      </x:c>
      <x:c r="F1298" s="15" t="n">
        <x:v>0</x:v>
      </x:c>
      <x:c r="G1298" s="19" t="n">
        <x:v>90</x:v>
      </x:c>
      <x:c r="H1298" s="19" t="n">
        <x:v>42</x:v>
      </x:c>
      <x:c r="I1298" s="17" t="n">
        <x:v>0.3</x:v>
      </x:c>
      <x:c r="J1298" s="19" t="n">
        <x:v>2</x:v>
      </x:c>
      <x:c r="K1298" s="19" t="n">
        <x:f>E1298*G1298</x:f>
        <x:v>90</x:v>
      </x:c>
      <x:c r="L1298" s="19" t="n">
        <x:f>K1298*I1298</x:f>
        <x:v>27</x:v>
      </x:c>
      <x:c r="M1298" s="19" t="n">
        <x:f>(E1298-F1298)*G1298*(1-I1298)</x:f>
        <x:v>62.99999999999999</x:v>
      </x:c>
      <x:c r="N1298" s="19" t="n">
        <x:f>(E1298-F1298)*H1298</x:f>
        <x:v>42</x:v>
      </x:c>
      <x:c r="O1298" s="19" t="n">
        <x:f>F1298*J1298</x:f>
        <x:v>0</x:v>
      </x:c>
      <x:c r="P1298" s="19" t="n">
        <x:f>M1298-N1298-O1298</x:f>
        <x:v>20.999999999999993</x:v>
      </x:c>
    </x:row>
    <x:row r="1299">
      <x:c r="A1299" s="15" t="str">
        <x:v>SIM-1295</x:v>
      </x:c>
      <x:c r="B1299" s="15" t="str">
        <x:v>2026-06</x:v>
      </x:c>
      <x:c r="C1299" s="15" t="str">
        <x:v>Prendas</x:v>
      </x:c>
      <x:c r="D1299" s="15" t="str">
        <x:v>Tienda</x:v>
      </x:c>
      <x:c r="E1299" s="15" t="n">
        <x:v>2</x:v>
      </x:c>
      <x:c r="F1299" s="15" t="n">
        <x:v>0</x:v>
      </x:c>
      <x:c r="G1299" s="19" t="n">
        <x:v>60</x:v>
      </x:c>
      <x:c r="H1299" s="19" t="n">
        <x:v>24</x:v>
      </x:c>
      <x:c r="I1299" s="17" t="n">
        <x:v>0.3</x:v>
      </x:c>
      <x:c r="J1299" s="19" t="n">
        <x:v>2</x:v>
      </x:c>
      <x:c r="K1299" s="19" t="n">
        <x:f>E1299*G1299</x:f>
        <x:v>120</x:v>
      </x:c>
      <x:c r="L1299" s="19" t="n">
        <x:f>K1299*I1299</x:f>
        <x:v>36</x:v>
      </x:c>
      <x:c r="M1299" s="19" t="n">
        <x:f>(E1299-F1299)*G1299*(1-I1299)</x:f>
        <x:v>84</x:v>
      </x:c>
      <x:c r="N1299" s="19" t="n">
        <x:f>(E1299-F1299)*H1299</x:f>
        <x:v>48</x:v>
      </x:c>
      <x:c r="O1299" s="19" t="n">
        <x:f>F1299*J1299</x:f>
        <x:v>0</x:v>
      </x:c>
      <x:c r="P1299" s="19" t="n">
        <x:f>M1299-N1299-O1299</x:f>
        <x:v>36</x:v>
      </x:c>
    </x:row>
    <x:row r="1300">
      <x:c r="A1300" s="15" t="str">
        <x:v>SIM-1296</x:v>
      </x:c>
      <x:c r="B1300" s="15" t="str">
        <x:v>2026-06</x:v>
      </x:c>
      <x:c r="C1300" s="15" t="str">
        <x:v>Prendas</x:v>
      </x:c>
      <x:c r="D1300" s="15" t="str">
        <x:v>Online</x:v>
      </x:c>
      <x:c r="E1300" s="15" t="n">
        <x:v>2</x:v>
      </x:c>
      <x:c r="F1300" s="15" t="n">
        <x:v>0</x:v>
      </x:c>
      <x:c r="G1300" s="19" t="n">
        <x:v>60</x:v>
      </x:c>
      <x:c r="H1300" s="19" t="n">
        <x:v>24</x:v>
      </x:c>
      <x:c r="I1300" s="17" t="n">
        <x:v>0</x:v>
      </x:c>
      <x:c r="J1300" s="19" t="n">
        <x:v>6</x:v>
      </x:c>
      <x:c r="K1300" s="19" t="n">
        <x:f>E1300*G1300</x:f>
        <x:v>120</x:v>
      </x:c>
      <x:c r="L1300" s="19" t="n">
        <x:f>K1300*I1300</x:f>
        <x:v>0</x:v>
      </x:c>
      <x:c r="M1300" s="19" t="n">
        <x:f>(E1300-F1300)*G1300*(1-I1300)</x:f>
        <x:v>120</x:v>
      </x:c>
      <x:c r="N1300" s="19" t="n">
        <x:f>(E1300-F1300)*H1300</x:f>
        <x:v>48</x:v>
      </x:c>
      <x:c r="O1300" s="19" t="n">
        <x:f>F1300*J1300</x:f>
        <x:v>0</x:v>
      </x:c>
      <x:c r="P1300" s="19" t="n">
        <x:f>M1300-N1300-O1300</x:f>
        <x:v>72</x:v>
      </x:c>
    </x:row>
    <x:row r="1301">
      <x:c r="A1301" s="15" t="str">
        <x:v>SIM-1297</x:v>
      </x:c>
      <x:c r="B1301" s="15" t="str">
        <x:v>2026-06</x:v>
      </x:c>
      <x:c r="C1301" s="15" t="str">
        <x:v>Calzado</x:v>
      </x:c>
      <x:c r="D1301" s="15" t="str">
        <x:v>Tienda</x:v>
      </x:c>
      <x:c r="E1301" s="15" t="n">
        <x:v>1</x:v>
      </x:c>
      <x:c r="F1301" s="15" t="n">
        <x:v>0</x:v>
      </x:c>
      <x:c r="G1301" s="19" t="n">
        <x:v>90</x:v>
      </x:c>
      <x:c r="H1301" s="19" t="n">
        <x:v>42</x:v>
      </x:c>
      <x:c r="I1301" s="17" t="n">
        <x:v>0.3</x:v>
      </x:c>
      <x:c r="J1301" s="19" t="n">
        <x:v>2</x:v>
      </x:c>
      <x:c r="K1301" s="19" t="n">
        <x:f>E1301*G1301</x:f>
        <x:v>90</x:v>
      </x:c>
      <x:c r="L1301" s="19" t="n">
        <x:f>K1301*I1301</x:f>
        <x:v>27</x:v>
      </x:c>
      <x:c r="M1301" s="19" t="n">
        <x:f>(E1301-F1301)*G1301*(1-I1301)</x:f>
        <x:v>62.99999999999999</x:v>
      </x:c>
      <x:c r="N1301" s="19" t="n">
        <x:f>(E1301-F1301)*H1301</x:f>
        <x:v>42</x:v>
      </x:c>
      <x:c r="O1301" s="19" t="n">
        <x:f>F1301*J1301</x:f>
        <x:v>0</x:v>
      </x:c>
      <x:c r="P1301" s="19" t="n">
        <x:f>M1301-N1301-O1301</x:f>
        <x:v>20.999999999999993</x:v>
      </x:c>
    </x:row>
    <x:row r="1302">
      <x:c r="A1302" s="15" t="str">
        <x:v>SIM-1298</x:v>
      </x:c>
      <x:c r="B1302" s="15" t="str">
        <x:v>2026-06</x:v>
      </x:c>
      <x:c r="C1302" s="15" t="str">
        <x:v>Accesorios</x:v>
      </x:c>
      <x:c r="D1302" s="15" t="str">
        <x:v>Tienda</x:v>
      </x:c>
      <x:c r="E1302" s="15" t="n">
        <x:v>3</x:v>
      </x:c>
      <x:c r="F1302" s="15" t="n">
        <x:v>0</x:v>
      </x:c>
      <x:c r="G1302" s="19" t="n">
        <x:v>30</x:v>
      </x:c>
      <x:c r="H1302" s="19" t="n">
        <x:v>9</x:v>
      </x:c>
      <x:c r="I1302" s="17" t="n">
        <x:v>0.2</x:v>
      </x:c>
      <x:c r="J1302" s="19" t="n">
        <x:v>2</x:v>
      </x:c>
      <x:c r="K1302" s="19" t="n">
        <x:f>E1302*G1302</x:f>
        <x:v>90</x:v>
      </x:c>
      <x:c r="L1302" s="19" t="n">
        <x:f>K1302*I1302</x:f>
        <x:v>18</x:v>
      </x:c>
      <x:c r="M1302" s="19" t="n">
        <x:f>(E1302-F1302)*G1302*(1-I1302)</x:f>
        <x:v>72</x:v>
      </x:c>
      <x:c r="N1302" s="19" t="n">
        <x:f>(E1302-F1302)*H1302</x:f>
        <x:v>27</x:v>
      </x:c>
      <x:c r="O1302" s="19" t="n">
        <x:f>F1302*J1302</x:f>
        <x:v>0</x:v>
      </x:c>
      <x:c r="P1302" s="19" t="n">
        <x:f>M1302-N1302-O1302</x:f>
        <x:v>45</x:v>
      </x:c>
    </x:row>
    <x:row r="1303">
      <x:c r="A1303" s="15" t="str">
        <x:v>SIM-1299</x:v>
      </x:c>
      <x:c r="B1303" s="15" t="str">
        <x:v>2026-06</x:v>
      </x:c>
      <x:c r="C1303" s="15" t="str">
        <x:v>Calzado</x:v>
      </x:c>
      <x:c r="D1303" s="15" t="str">
        <x:v>Tienda</x:v>
      </x:c>
      <x:c r="E1303" s="15" t="n">
        <x:v>1</x:v>
      </x:c>
      <x:c r="F1303" s="15" t="n">
        <x:v>0</x:v>
      </x:c>
      <x:c r="G1303" s="19" t="n">
        <x:v>90</x:v>
      </x:c>
      <x:c r="H1303" s="19" t="n">
        <x:v>42</x:v>
      </x:c>
      <x:c r="I1303" s="17" t="n">
        <x:v>0</x:v>
      </x:c>
      <x:c r="J1303" s="19" t="n">
        <x:v>2</x:v>
      </x:c>
      <x:c r="K1303" s="19" t="n">
        <x:f>E1303*G1303</x:f>
        <x:v>90</x:v>
      </x:c>
      <x:c r="L1303" s="19" t="n">
        <x:f>K1303*I1303</x:f>
        <x:v>0</x:v>
      </x:c>
      <x:c r="M1303" s="19" t="n">
        <x:f>(E1303-F1303)*G1303*(1-I1303)</x:f>
        <x:v>90</x:v>
      </x:c>
      <x:c r="N1303" s="19" t="n">
        <x:f>(E1303-F1303)*H1303</x:f>
        <x:v>42</x:v>
      </x:c>
      <x:c r="O1303" s="19" t="n">
        <x:f>F1303*J1303</x:f>
        <x:v>0</x:v>
      </x:c>
      <x:c r="P1303" s="19" t="n">
        <x:f>M1303-N1303-O1303</x:f>
        <x:v>48</x:v>
      </x:c>
    </x:row>
    <x:row r="1304">
      <x:c r="A1304" s="15" t="str">
        <x:v>SIM-1300</x:v>
      </x:c>
      <x:c r="B1304" s="15" t="str">
        <x:v>2026-06</x:v>
      </x:c>
      <x:c r="C1304" s="15" t="str">
        <x:v>Accesorios</x:v>
      </x:c>
      <x:c r="D1304" s="15" t="str">
        <x:v>Online</x:v>
      </x:c>
      <x:c r="E1304" s="15" t="n">
        <x:v>1</x:v>
      </x:c>
      <x:c r="F1304" s="15" t="n">
        <x:v>0</x:v>
      </x:c>
      <x:c r="G1304" s="19" t="n">
        <x:v>30</x:v>
      </x:c>
      <x:c r="H1304" s="19" t="n">
        <x:v>9</x:v>
      </x:c>
      <x:c r="I1304" s="17" t="n">
        <x:v>0.3</x:v>
      </x:c>
      <x:c r="J1304" s="19" t="n">
        <x:v>6</x:v>
      </x:c>
      <x:c r="K1304" s="19" t="n">
        <x:f>E1304*G1304</x:f>
        <x:v>30</x:v>
      </x:c>
      <x:c r="L1304" s="19" t="n">
        <x:f>K1304*I1304</x:f>
        <x:v>9</x:v>
      </x:c>
      <x:c r="M1304" s="19" t="n">
        <x:f>(E1304-F1304)*G1304*(1-I1304)</x:f>
        <x:v>21</x:v>
      </x:c>
      <x:c r="N1304" s="19" t="n">
        <x:f>(E1304-F1304)*H1304</x:f>
        <x:v>9</x:v>
      </x:c>
      <x:c r="O1304" s="19" t="n">
        <x:f>F1304*J1304</x:f>
        <x:v>0</x:v>
      </x:c>
      <x:c r="P1304" s="19" t="n">
        <x:f>M1304-N1304-O1304</x:f>
        <x:v>12</x:v>
      </x:c>
    </x:row>
    <x:row r="1305">
      <x:c r="A1305" s="15" t="str">
        <x:v>SIM-1301</x:v>
      </x:c>
      <x:c r="B1305" s="15" t="str">
        <x:v>2026-06</x:v>
      </x:c>
      <x:c r="C1305" s="15" t="str">
        <x:v>Calzado</x:v>
      </x:c>
      <x:c r="D1305" s="15" t="str">
        <x:v>Tienda</x:v>
      </x:c>
      <x:c r="E1305" s="15" t="n">
        <x:v>1</x:v>
      </x:c>
      <x:c r="F1305" s="15" t="n">
        <x:v>0</x:v>
      </x:c>
      <x:c r="G1305" s="19" t="n">
        <x:v>90</x:v>
      </x:c>
      <x:c r="H1305" s="19" t="n">
        <x:v>42</x:v>
      </x:c>
      <x:c r="I1305" s="17" t="n">
        <x:v>0</x:v>
      </x:c>
      <x:c r="J1305" s="19" t="n">
        <x:v>2</x:v>
      </x:c>
      <x:c r="K1305" s="19" t="n">
        <x:f>E1305*G1305</x:f>
        <x:v>90</x:v>
      </x:c>
      <x:c r="L1305" s="19" t="n">
        <x:f>K1305*I1305</x:f>
        <x:v>0</x:v>
      </x:c>
      <x:c r="M1305" s="19" t="n">
        <x:f>(E1305-F1305)*G1305*(1-I1305)</x:f>
        <x:v>90</x:v>
      </x:c>
      <x:c r="N1305" s="19" t="n">
        <x:f>(E1305-F1305)*H1305</x:f>
        <x:v>42</x:v>
      </x:c>
      <x:c r="O1305" s="19" t="n">
        <x:f>F1305*J1305</x:f>
        <x:v>0</x:v>
      </x:c>
      <x:c r="P1305" s="19" t="n">
        <x:f>M1305-N1305-O1305</x:f>
        <x:v>48</x:v>
      </x:c>
    </x:row>
    <x:row r="1306">
      <x:c r="A1306" s="15" t="str">
        <x:v>SIM-1302</x:v>
      </x:c>
      <x:c r="B1306" s="15" t="str">
        <x:v>2026-06</x:v>
      </x:c>
      <x:c r="C1306" s="15" t="str">
        <x:v>Prendas</x:v>
      </x:c>
      <x:c r="D1306" s="15" t="str">
        <x:v>Tienda</x:v>
      </x:c>
      <x:c r="E1306" s="15" t="n">
        <x:v>1</x:v>
      </x:c>
      <x:c r="F1306" s="15" t="n">
        <x:v>0</x:v>
      </x:c>
      <x:c r="G1306" s="19" t="n">
        <x:v>60</x:v>
      </x:c>
      <x:c r="H1306" s="19" t="n">
        <x:v>24</x:v>
      </x:c>
      <x:c r="I1306" s="17" t="n">
        <x:v>0.1</x:v>
      </x:c>
      <x:c r="J1306" s="19" t="n">
        <x:v>2</x:v>
      </x:c>
      <x:c r="K1306" s="19" t="n">
        <x:f>E1306*G1306</x:f>
        <x:v>60</x:v>
      </x:c>
      <x:c r="L1306" s="19" t="n">
        <x:f>K1306*I1306</x:f>
        <x:v>6</x:v>
      </x:c>
      <x:c r="M1306" s="19" t="n">
        <x:f>(E1306-F1306)*G1306*(1-I1306)</x:f>
        <x:v>54</x:v>
      </x:c>
      <x:c r="N1306" s="19" t="n">
        <x:f>(E1306-F1306)*H1306</x:f>
        <x:v>24</x:v>
      </x:c>
      <x:c r="O1306" s="19" t="n">
        <x:f>F1306*J1306</x:f>
        <x:v>0</x:v>
      </x:c>
      <x:c r="P1306" s="19" t="n">
        <x:f>M1306-N1306-O1306</x:f>
        <x:v>30</x:v>
      </x:c>
    </x:row>
    <x:row r="1307">
      <x:c r="A1307" s="15" t="str">
        <x:v>SIM-1303</x:v>
      </x:c>
      <x:c r="B1307" s="15" t="str">
        <x:v>2026-06</x:v>
      </x:c>
      <x:c r="C1307" s="15" t="str">
        <x:v>Calzado</x:v>
      </x:c>
      <x:c r="D1307" s="15" t="str">
        <x:v>Online</x:v>
      </x:c>
      <x:c r="E1307" s="15" t="n">
        <x:v>2</x:v>
      </x:c>
      <x:c r="F1307" s="15" t="n">
        <x:v>0</x:v>
      </x:c>
      <x:c r="G1307" s="19" t="n">
        <x:v>90</x:v>
      </x:c>
      <x:c r="H1307" s="19" t="n">
        <x:v>42</x:v>
      </x:c>
      <x:c r="I1307" s="17" t="n">
        <x:v>0</x:v>
      </x:c>
      <x:c r="J1307" s="19" t="n">
        <x:v>6</x:v>
      </x:c>
      <x:c r="K1307" s="19" t="n">
        <x:f>E1307*G1307</x:f>
        <x:v>180</x:v>
      </x:c>
      <x:c r="L1307" s="19" t="n">
        <x:f>K1307*I1307</x:f>
        <x:v>0</x:v>
      </x:c>
      <x:c r="M1307" s="19" t="n">
        <x:f>(E1307-F1307)*G1307*(1-I1307)</x:f>
        <x:v>180</x:v>
      </x:c>
      <x:c r="N1307" s="19" t="n">
        <x:f>(E1307-F1307)*H1307</x:f>
        <x:v>84</x:v>
      </x:c>
      <x:c r="O1307" s="19" t="n">
        <x:f>F1307*J1307</x:f>
        <x:v>0</x:v>
      </x:c>
      <x:c r="P1307" s="19" t="n">
        <x:f>M1307-N1307-O1307</x:f>
        <x:v>96</x:v>
      </x:c>
    </x:row>
    <x:row r="1308">
      <x:c r="A1308" s="15" t="str">
        <x:v>SIM-1304</x:v>
      </x:c>
      <x:c r="B1308" s="15" t="str">
        <x:v>2026-06</x:v>
      </x:c>
      <x:c r="C1308" s="15" t="str">
        <x:v>Prendas</x:v>
      </x:c>
      <x:c r="D1308" s="15" t="str">
        <x:v>Tienda</x:v>
      </x:c>
      <x:c r="E1308" s="15" t="n">
        <x:v>1</x:v>
      </x:c>
      <x:c r="F1308" s="15" t="n">
        <x:v>0</x:v>
      </x:c>
      <x:c r="G1308" s="19" t="n">
        <x:v>60</x:v>
      </x:c>
      <x:c r="H1308" s="19" t="n">
        <x:v>24</x:v>
      </x:c>
      <x:c r="I1308" s="17" t="n">
        <x:v>0.3</x:v>
      </x:c>
      <x:c r="J1308" s="19" t="n">
        <x:v>2</x:v>
      </x:c>
      <x:c r="K1308" s="19" t="n">
        <x:f>E1308*G1308</x:f>
        <x:v>60</x:v>
      </x:c>
      <x:c r="L1308" s="19" t="n">
        <x:f>K1308*I1308</x:f>
        <x:v>18</x:v>
      </x:c>
      <x:c r="M1308" s="19" t="n">
        <x:f>(E1308-F1308)*G1308*(1-I1308)</x:f>
        <x:v>42</x:v>
      </x:c>
      <x:c r="N1308" s="19" t="n">
        <x:f>(E1308-F1308)*H1308</x:f>
        <x:v>24</x:v>
      </x:c>
      <x:c r="O1308" s="19" t="n">
        <x:f>F1308*J1308</x:f>
        <x:v>0</x:v>
      </x:c>
      <x:c r="P1308" s="19" t="n">
        <x:f>M1308-N1308-O1308</x:f>
        <x:v>18</x:v>
      </x:c>
    </x:row>
    <x:row r="1309">
      <x:c r="A1309" s="15" t="str">
        <x:v>SIM-1305</x:v>
      </x:c>
      <x:c r="B1309" s="15" t="str">
        <x:v>2026-06</x:v>
      </x:c>
      <x:c r="C1309" s="15" t="str">
        <x:v>Accesorios</x:v>
      </x:c>
      <x:c r="D1309" s="15" t="str">
        <x:v>Tienda</x:v>
      </x:c>
      <x:c r="E1309" s="15" t="n">
        <x:v>1</x:v>
      </x:c>
      <x:c r="F1309" s="15" t="n">
        <x:v>0</x:v>
      </x:c>
      <x:c r="G1309" s="19" t="n">
        <x:v>30</x:v>
      </x:c>
      <x:c r="H1309" s="19" t="n">
        <x:v>9</x:v>
      </x:c>
      <x:c r="I1309" s="17" t="n">
        <x:v>0.3</x:v>
      </x:c>
      <x:c r="J1309" s="19" t="n">
        <x:v>2</x:v>
      </x:c>
      <x:c r="K1309" s="19" t="n">
        <x:f>E1309*G1309</x:f>
        <x:v>30</x:v>
      </x:c>
      <x:c r="L1309" s="19" t="n">
        <x:f>K1309*I1309</x:f>
        <x:v>9</x:v>
      </x:c>
      <x:c r="M1309" s="19" t="n">
        <x:f>(E1309-F1309)*G1309*(1-I1309)</x:f>
        <x:v>21</x:v>
      </x:c>
      <x:c r="N1309" s="19" t="n">
        <x:f>(E1309-F1309)*H1309</x:f>
        <x:v>9</x:v>
      </x:c>
      <x:c r="O1309" s="19" t="n">
        <x:f>F1309*J1309</x:f>
        <x:v>0</x:v>
      </x:c>
      <x:c r="P1309" s="19" t="n">
        <x:f>M1309-N1309-O1309</x:f>
        <x:v>12</x:v>
      </x:c>
    </x:row>
    <x:row r="1310">
      <x:c r="A1310" s="15" t="str">
        <x:v>SIM-1306</x:v>
      </x:c>
      <x:c r="B1310" s="15" t="str">
        <x:v>2026-06</x:v>
      </x:c>
      <x:c r="C1310" s="15" t="str">
        <x:v>Accesorios</x:v>
      </x:c>
      <x:c r="D1310" s="15" t="str">
        <x:v>Online</x:v>
      </x:c>
      <x:c r="E1310" s="15" t="n">
        <x:v>1</x:v>
      </x:c>
      <x:c r="F1310" s="15" t="n">
        <x:v>0</x:v>
      </x:c>
      <x:c r="G1310" s="19" t="n">
        <x:v>30</x:v>
      </x:c>
      <x:c r="H1310" s="19" t="n">
        <x:v>9</x:v>
      </x:c>
      <x:c r="I1310" s="17" t="n">
        <x:v>0</x:v>
      </x:c>
      <x:c r="J1310" s="19" t="n">
        <x:v>6</x:v>
      </x:c>
      <x:c r="K1310" s="19" t="n">
        <x:f>E1310*G1310</x:f>
        <x:v>30</x:v>
      </x:c>
      <x:c r="L1310" s="19" t="n">
        <x:f>K1310*I1310</x:f>
        <x:v>0</x:v>
      </x:c>
      <x:c r="M1310" s="19" t="n">
        <x:f>(E1310-F1310)*G1310*(1-I1310)</x:f>
        <x:v>30</x:v>
      </x:c>
      <x:c r="N1310" s="19" t="n">
        <x:f>(E1310-F1310)*H1310</x:f>
        <x:v>9</x:v>
      </x:c>
      <x:c r="O1310" s="19" t="n">
        <x:f>F1310*J1310</x:f>
        <x:v>0</x:v>
      </x:c>
      <x:c r="P1310" s="19" t="n">
        <x:f>M1310-N1310-O1310</x:f>
        <x:v>21</x:v>
      </x:c>
    </x:row>
    <x:row r="1311">
      <x:c r="A1311" s="15" t="str">
        <x:v>SIM-1307</x:v>
      </x:c>
      <x:c r="B1311" s="15" t="str">
        <x:v>2026-06</x:v>
      </x:c>
      <x:c r="C1311" s="15" t="str">
        <x:v>Prendas</x:v>
      </x:c>
      <x:c r="D1311" s="15" t="str">
        <x:v>Online</x:v>
      </x:c>
      <x:c r="E1311" s="15" t="n">
        <x:v>1</x:v>
      </x:c>
      <x:c r="F1311" s="15" t="n">
        <x:v>0</x:v>
      </x:c>
      <x:c r="G1311" s="19" t="n">
        <x:v>60</x:v>
      </x:c>
      <x:c r="H1311" s="19" t="n">
        <x:v>24</x:v>
      </x:c>
      <x:c r="I1311" s="17" t="n">
        <x:v>0.1</x:v>
      </x:c>
      <x:c r="J1311" s="19" t="n">
        <x:v>6</x:v>
      </x:c>
      <x:c r="K1311" s="19" t="n">
        <x:f>E1311*G1311</x:f>
        <x:v>60</x:v>
      </x:c>
      <x:c r="L1311" s="19" t="n">
        <x:f>K1311*I1311</x:f>
        <x:v>6</x:v>
      </x:c>
      <x:c r="M1311" s="19" t="n">
        <x:f>(E1311-F1311)*G1311*(1-I1311)</x:f>
        <x:v>54</x:v>
      </x:c>
      <x:c r="N1311" s="19" t="n">
        <x:f>(E1311-F1311)*H1311</x:f>
        <x:v>24</x:v>
      </x:c>
      <x:c r="O1311" s="19" t="n">
        <x:f>F1311*J1311</x:f>
        <x:v>0</x:v>
      </x:c>
      <x:c r="P1311" s="19" t="n">
        <x:f>M1311-N1311-O1311</x:f>
        <x:v>30</x:v>
      </x:c>
    </x:row>
    <x:row r="1312">
      <x:c r="A1312" s="15" t="str">
        <x:v>SIM-1308</x:v>
      </x:c>
      <x:c r="B1312" s="15" t="str">
        <x:v>2026-06</x:v>
      </x:c>
      <x:c r="C1312" s="15" t="str">
        <x:v>Calzado</x:v>
      </x:c>
      <x:c r="D1312" s="15" t="str">
        <x:v>Tienda</x:v>
      </x:c>
      <x:c r="E1312" s="15" t="n">
        <x:v>2</x:v>
      </x:c>
      <x:c r="F1312" s="15" t="n">
        <x:v>0</x:v>
      </x:c>
      <x:c r="G1312" s="19" t="n">
        <x:v>90</x:v>
      </x:c>
      <x:c r="H1312" s="19" t="n">
        <x:v>42</x:v>
      </x:c>
      <x:c r="I1312" s="17" t="n">
        <x:v>0.3</x:v>
      </x:c>
      <x:c r="J1312" s="19" t="n">
        <x:v>2</x:v>
      </x:c>
      <x:c r="K1312" s="19" t="n">
        <x:f>E1312*G1312</x:f>
        <x:v>180</x:v>
      </x:c>
      <x:c r="L1312" s="19" t="n">
        <x:f>K1312*I1312</x:f>
        <x:v>54</x:v>
      </x:c>
      <x:c r="M1312" s="19" t="n">
        <x:f>(E1312-F1312)*G1312*(1-I1312)</x:f>
        <x:v>125.99999999999999</x:v>
      </x:c>
      <x:c r="N1312" s="19" t="n">
        <x:f>(E1312-F1312)*H1312</x:f>
        <x:v>84</x:v>
      </x:c>
      <x:c r="O1312" s="19" t="n">
        <x:f>F1312*J1312</x:f>
        <x:v>0</x:v>
      </x:c>
      <x:c r="P1312" s="19" t="n">
        <x:f>M1312-N1312-O1312</x:f>
        <x:v>41.999999999999986</x:v>
      </x:c>
    </x:row>
    <x:row r="1313">
      <x:c r="A1313" s="15" t="str">
        <x:v>SIM-1309</x:v>
      </x:c>
      <x:c r="B1313" s="15" t="str">
        <x:v>2026-06</x:v>
      </x:c>
      <x:c r="C1313" s="15" t="str">
        <x:v>Prendas</x:v>
      </x:c>
      <x:c r="D1313" s="15" t="str">
        <x:v>Online</x:v>
      </x:c>
      <x:c r="E1313" s="15" t="n">
        <x:v>1</x:v>
      </x:c>
      <x:c r="F1313" s="15" t="n">
        <x:v>0</x:v>
      </x:c>
      <x:c r="G1313" s="19" t="n">
        <x:v>60</x:v>
      </x:c>
      <x:c r="H1313" s="19" t="n">
        <x:v>24</x:v>
      </x:c>
      <x:c r="I1313" s="17" t="n">
        <x:v>0</x:v>
      </x:c>
      <x:c r="J1313" s="19" t="n">
        <x:v>6</x:v>
      </x:c>
      <x:c r="K1313" s="19" t="n">
        <x:f>E1313*G1313</x:f>
        <x:v>60</x:v>
      </x:c>
      <x:c r="L1313" s="19" t="n">
        <x:f>K1313*I1313</x:f>
        <x:v>0</x:v>
      </x:c>
      <x:c r="M1313" s="19" t="n">
        <x:f>(E1313-F1313)*G1313*(1-I1313)</x:f>
        <x:v>60</x:v>
      </x:c>
      <x:c r="N1313" s="19" t="n">
        <x:f>(E1313-F1313)*H1313</x:f>
        <x:v>24</x:v>
      </x:c>
      <x:c r="O1313" s="19" t="n">
        <x:f>F1313*J1313</x:f>
        <x:v>0</x:v>
      </x:c>
      <x:c r="P1313" s="19" t="n">
        <x:f>M1313-N1313-O1313</x:f>
        <x:v>36</x:v>
      </x:c>
    </x:row>
    <x:row r="1314">
      <x:c r="A1314" s="15" t="str">
        <x:v>SIM-1310</x:v>
      </x:c>
      <x:c r="B1314" s="15" t="str">
        <x:v>2026-06</x:v>
      </x:c>
      <x:c r="C1314" s="15" t="str">
        <x:v>Accesorios</x:v>
      </x:c>
      <x:c r="D1314" s="15" t="str">
        <x:v>Tienda</x:v>
      </x:c>
      <x:c r="E1314" s="15" t="n">
        <x:v>1</x:v>
      </x:c>
      <x:c r="F1314" s="15" t="n">
        <x:v>0</x:v>
      </x:c>
      <x:c r="G1314" s="19" t="n">
        <x:v>30</x:v>
      </x:c>
      <x:c r="H1314" s="19" t="n">
        <x:v>9</x:v>
      </x:c>
      <x:c r="I1314" s="17" t="n">
        <x:v>0</x:v>
      </x:c>
      <x:c r="J1314" s="19" t="n">
        <x:v>2</x:v>
      </x:c>
      <x:c r="K1314" s="19" t="n">
        <x:f>E1314*G1314</x:f>
        <x:v>30</x:v>
      </x:c>
      <x:c r="L1314" s="19" t="n">
        <x:f>K1314*I1314</x:f>
        <x:v>0</x:v>
      </x:c>
      <x:c r="M1314" s="19" t="n">
        <x:f>(E1314-F1314)*G1314*(1-I1314)</x:f>
        <x:v>30</x:v>
      </x:c>
      <x:c r="N1314" s="19" t="n">
        <x:f>(E1314-F1314)*H1314</x:f>
        <x:v>9</x:v>
      </x:c>
      <x:c r="O1314" s="19" t="n">
        <x:f>F1314*J1314</x:f>
        <x:v>0</x:v>
      </x:c>
      <x:c r="P1314" s="19" t="n">
        <x:f>M1314-N1314-O1314</x:f>
        <x:v>21</x:v>
      </x:c>
    </x:row>
    <x:row r="1315">
      <x:c r="A1315" s="15" t="str">
        <x:v>SIM-1311</x:v>
      </x:c>
      <x:c r="B1315" s="15" t="str">
        <x:v>2026-06</x:v>
      </x:c>
      <x:c r="C1315" s="15" t="str">
        <x:v>Prendas</x:v>
      </x:c>
      <x:c r="D1315" s="15" t="str">
        <x:v>Online</x:v>
      </x:c>
      <x:c r="E1315" s="15" t="n">
        <x:v>1</x:v>
      </x:c>
      <x:c r="F1315" s="15" t="n">
        <x:v>1</x:v>
      </x:c>
      <x:c r="G1315" s="19" t="n">
        <x:v>60</x:v>
      </x:c>
      <x:c r="H1315" s="19" t="n">
        <x:v>24</x:v>
      </x:c>
      <x:c r="I1315" s="17" t="n">
        <x:v>0</x:v>
      </x:c>
      <x:c r="J1315" s="19" t="n">
        <x:v>6</x:v>
      </x:c>
      <x:c r="K1315" s="19" t="n">
        <x:f>E1315*G1315</x:f>
        <x:v>60</x:v>
      </x:c>
      <x:c r="L1315" s="19" t="n">
        <x:f>K1315*I1315</x:f>
        <x:v>0</x:v>
      </x:c>
      <x:c r="M1315" s="19" t="n">
        <x:f>(E1315-F1315)*G1315*(1-I1315)</x:f>
        <x:v>0</x:v>
      </x:c>
      <x:c r="N1315" s="19" t="n">
        <x:f>(E1315-F1315)*H1315</x:f>
        <x:v>0</x:v>
      </x:c>
      <x:c r="O1315" s="19" t="n">
        <x:f>F1315*J1315</x:f>
        <x:v>6</x:v>
      </x:c>
      <x:c r="P1315" s="19" t="n">
        <x:f>M1315-N1315-O1315</x:f>
        <x:v>-6</x:v>
      </x:c>
    </x:row>
    <x:row r="1316">
      <x:c r="A1316" s="15" t="str">
        <x:v>SIM-1312</x:v>
      </x:c>
      <x:c r="B1316" s="15" t="str">
        <x:v>2026-06</x:v>
      </x:c>
      <x:c r="C1316" s="15" t="str">
        <x:v>Calzado</x:v>
      </x:c>
      <x:c r="D1316" s="15" t="str">
        <x:v>Tienda</x:v>
      </x:c>
      <x:c r="E1316" s="15" t="n">
        <x:v>1</x:v>
      </x:c>
      <x:c r="F1316" s="15" t="n">
        <x:v>0</x:v>
      </x:c>
      <x:c r="G1316" s="19" t="n">
        <x:v>90</x:v>
      </x:c>
      <x:c r="H1316" s="19" t="n">
        <x:v>42</x:v>
      </x:c>
      <x:c r="I1316" s="17" t="n">
        <x:v>0.3</x:v>
      </x:c>
      <x:c r="J1316" s="19" t="n">
        <x:v>2</x:v>
      </x:c>
      <x:c r="K1316" s="19" t="n">
        <x:f>E1316*G1316</x:f>
        <x:v>90</x:v>
      </x:c>
      <x:c r="L1316" s="19" t="n">
        <x:f>K1316*I1316</x:f>
        <x:v>27</x:v>
      </x:c>
      <x:c r="M1316" s="19" t="n">
        <x:f>(E1316-F1316)*G1316*(1-I1316)</x:f>
        <x:v>62.99999999999999</x:v>
      </x:c>
      <x:c r="N1316" s="19" t="n">
        <x:f>(E1316-F1316)*H1316</x:f>
        <x:v>42</x:v>
      </x:c>
      <x:c r="O1316" s="19" t="n">
        <x:f>F1316*J1316</x:f>
        <x:v>0</x:v>
      </x:c>
      <x:c r="P1316" s="19" t="n">
        <x:f>M1316-N1316-O1316</x:f>
        <x:v>20.999999999999993</x:v>
      </x:c>
    </x:row>
    <x:row r="1317">
      <x:c r="A1317" s="15" t="str">
        <x:v>SIM-1313</x:v>
      </x:c>
      <x:c r="B1317" s="15" t="str">
        <x:v>2026-06</x:v>
      </x:c>
      <x:c r="C1317" s="15" t="str">
        <x:v>Prendas</x:v>
      </x:c>
      <x:c r="D1317" s="15" t="str">
        <x:v>Tienda</x:v>
      </x:c>
      <x:c r="E1317" s="15" t="n">
        <x:v>1</x:v>
      </x:c>
      <x:c r="F1317" s="15" t="n">
        <x:v>0</x:v>
      </x:c>
      <x:c r="G1317" s="19" t="n">
        <x:v>60</x:v>
      </x:c>
      <x:c r="H1317" s="19" t="n">
        <x:v>24</x:v>
      </x:c>
      <x:c r="I1317" s="17" t="n">
        <x:v>0.3</x:v>
      </x:c>
      <x:c r="J1317" s="19" t="n">
        <x:v>2</x:v>
      </x:c>
      <x:c r="K1317" s="19" t="n">
        <x:f>E1317*G1317</x:f>
        <x:v>60</x:v>
      </x:c>
      <x:c r="L1317" s="19" t="n">
        <x:f>K1317*I1317</x:f>
        <x:v>18</x:v>
      </x:c>
      <x:c r="M1317" s="19" t="n">
        <x:f>(E1317-F1317)*G1317*(1-I1317)</x:f>
        <x:v>42</x:v>
      </x:c>
      <x:c r="N1317" s="19" t="n">
        <x:f>(E1317-F1317)*H1317</x:f>
        <x:v>24</x:v>
      </x:c>
      <x:c r="O1317" s="19" t="n">
        <x:f>F1317*J1317</x:f>
        <x:v>0</x:v>
      </x:c>
      <x:c r="P1317" s="19" t="n">
        <x:f>M1317-N1317-O1317</x:f>
        <x:v>18</x:v>
      </x:c>
    </x:row>
    <x:row r="1318">
      <x:c r="A1318" s="15" t="str">
        <x:v>SIM-1314</x:v>
      </x:c>
      <x:c r="B1318" s="15" t="str">
        <x:v>2026-06</x:v>
      </x:c>
      <x:c r="C1318" s="15" t="str">
        <x:v>Prendas</x:v>
      </x:c>
      <x:c r="D1318" s="15" t="str">
        <x:v>Online</x:v>
      </x:c>
      <x:c r="E1318" s="15" t="n">
        <x:v>1</x:v>
      </x:c>
      <x:c r="F1318" s="15" t="n">
        <x:v>0</x:v>
      </x:c>
      <x:c r="G1318" s="19" t="n">
        <x:v>60</x:v>
      </x:c>
      <x:c r="H1318" s="19" t="n">
        <x:v>24</x:v>
      </x:c>
      <x:c r="I1318" s="17" t="n">
        <x:v>0.3</x:v>
      </x:c>
      <x:c r="J1318" s="19" t="n">
        <x:v>6</x:v>
      </x:c>
      <x:c r="K1318" s="19" t="n">
        <x:f>E1318*G1318</x:f>
        <x:v>60</x:v>
      </x:c>
      <x:c r="L1318" s="19" t="n">
        <x:f>K1318*I1318</x:f>
        <x:v>18</x:v>
      </x:c>
      <x:c r="M1318" s="19" t="n">
        <x:f>(E1318-F1318)*G1318*(1-I1318)</x:f>
        <x:v>42</x:v>
      </x:c>
      <x:c r="N1318" s="19" t="n">
        <x:f>(E1318-F1318)*H1318</x:f>
        <x:v>24</x:v>
      </x:c>
      <x:c r="O1318" s="19" t="n">
        <x:f>F1318*J1318</x:f>
        <x:v>0</x:v>
      </x:c>
      <x:c r="P1318" s="19" t="n">
        <x:f>M1318-N1318-O1318</x:f>
        <x:v>18</x:v>
      </x:c>
    </x:row>
    <x:row r="1319">
      <x:c r="A1319" s="15" t="str">
        <x:v>SIM-1315</x:v>
      </x:c>
      <x:c r="B1319" s="15" t="str">
        <x:v>2026-06</x:v>
      </x:c>
      <x:c r="C1319" s="15" t="str">
        <x:v>Prendas</x:v>
      </x:c>
      <x:c r="D1319" s="15" t="str">
        <x:v>Tienda</x:v>
      </x:c>
      <x:c r="E1319" s="15" t="n">
        <x:v>1</x:v>
      </x:c>
      <x:c r="F1319" s="15" t="n">
        <x:v>0</x:v>
      </x:c>
      <x:c r="G1319" s="19" t="n">
        <x:v>60</x:v>
      </x:c>
      <x:c r="H1319" s="19" t="n">
        <x:v>24</x:v>
      </x:c>
      <x:c r="I1319" s="17" t="n">
        <x:v>0.1</x:v>
      </x:c>
      <x:c r="J1319" s="19" t="n">
        <x:v>2</x:v>
      </x:c>
      <x:c r="K1319" s="19" t="n">
        <x:f>E1319*G1319</x:f>
        <x:v>60</x:v>
      </x:c>
      <x:c r="L1319" s="19" t="n">
        <x:f>K1319*I1319</x:f>
        <x:v>6</x:v>
      </x:c>
      <x:c r="M1319" s="19" t="n">
        <x:f>(E1319-F1319)*G1319*(1-I1319)</x:f>
        <x:v>54</x:v>
      </x:c>
      <x:c r="N1319" s="19" t="n">
        <x:f>(E1319-F1319)*H1319</x:f>
        <x:v>24</x:v>
      </x:c>
      <x:c r="O1319" s="19" t="n">
        <x:f>F1319*J1319</x:f>
        <x:v>0</x:v>
      </x:c>
      <x:c r="P1319" s="19" t="n">
        <x:f>M1319-N1319-O1319</x:f>
        <x:v>30</x:v>
      </x:c>
    </x:row>
    <x:row r="1320">
      <x:c r="A1320" s="15" t="str">
        <x:v>SIM-1316</x:v>
      </x:c>
      <x:c r="B1320" s="15" t="str">
        <x:v>2026-06</x:v>
      </x:c>
      <x:c r="C1320" s="15" t="str">
        <x:v>Prendas</x:v>
      </x:c>
      <x:c r="D1320" s="15" t="str">
        <x:v>Online</x:v>
      </x:c>
      <x:c r="E1320" s="15" t="n">
        <x:v>2</x:v>
      </x:c>
      <x:c r="F1320" s="15" t="n">
        <x:v>0</x:v>
      </x:c>
      <x:c r="G1320" s="19" t="n">
        <x:v>60</x:v>
      </x:c>
      <x:c r="H1320" s="19" t="n">
        <x:v>24</x:v>
      </x:c>
      <x:c r="I1320" s="17" t="n">
        <x:v>0</x:v>
      </x:c>
      <x:c r="J1320" s="19" t="n">
        <x:v>6</x:v>
      </x:c>
      <x:c r="K1320" s="19" t="n">
        <x:f>E1320*G1320</x:f>
        <x:v>120</x:v>
      </x:c>
      <x:c r="L1320" s="19" t="n">
        <x:f>K1320*I1320</x:f>
        <x:v>0</x:v>
      </x:c>
      <x:c r="M1320" s="19" t="n">
        <x:f>(E1320-F1320)*G1320*(1-I1320)</x:f>
        <x:v>120</x:v>
      </x:c>
      <x:c r="N1320" s="19" t="n">
        <x:f>(E1320-F1320)*H1320</x:f>
        <x:v>48</x:v>
      </x:c>
      <x:c r="O1320" s="19" t="n">
        <x:f>F1320*J1320</x:f>
        <x:v>0</x:v>
      </x:c>
      <x:c r="P1320" s="19" t="n">
        <x:f>M1320-N1320-O1320</x:f>
        <x:v>72</x:v>
      </x:c>
    </x:row>
    <x:row r="1321">
      <x:c r="A1321" s="15" t="str">
        <x:v>SIM-1317</x:v>
      </x:c>
      <x:c r="B1321" s="15" t="str">
        <x:v>2026-06</x:v>
      </x:c>
      <x:c r="C1321" s="15" t="str">
        <x:v>Prendas</x:v>
      </x:c>
      <x:c r="D1321" s="15" t="str">
        <x:v>Online</x:v>
      </x:c>
      <x:c r="E1321" s="15" t="n">
        <x:v>1</x:v>
      </x:c>
      <x:c r="F1321" s="15" t="n">
        <x:v>0</x:v>
      </x:c>
      <x:c r="G1321" s="19" t="n">
        <x:v>60</x:v>
      </x:c>
      <x:c r="H1321" s="19" t="n">
        <x:v>24</x:v>
      </x:c>
      <x:c r="I1321" s="17" t="n">
        <x:v>0.3</x:v>
      </x:c>
      <x:c r="J1321" s="19" t="n">
        <x:v>6</x:v>
      </x:c>
      <x:c r="K1321" s="19" t="n">
        <x:f>E1321*G1321</x:f>
        <x:v>60</x:v>
      </x:c>
      <x:c r="L1321" s="19" t="n">
        <x:f>K1321*I1321</x:f>
        <x:v>18</x:v>
      </x:c>
      <x:c r="M1321" s="19" t="n">
        <x:f>(E1321-F1321)*G1321*(1-I1321)</x:f>
        <x:v>42</x:v>
      </x:c>
      <x:c r="N1321" s="19" t="n">
        <x:f>(E1321-F1321)*H1321</x:f>
        <x:v>24</x:v>
      </x:c>
      <x:c r="O1321" s="19" t="n">
        <x:f>F1321*J1321</x:f>
        <x:v>0</x:v>
      </x:c>
      <x:c r="P1321" s="19" t="n">
        <x:f>M1321-N1321-O1321</x:f>
        <x:v>18</x:v>
      </x:c>
    </x:row>
    <x:row r="1322">
      <x:c r="A1322" s="15" t="str">
        <x:v>SIM-1318</x:v>
      </x:c>
      <x:c r="B1322" s="15" t="str">
        <x:v>2026-06</x:v>
      </x:c>
      <x:c r="C1322" s="15" t="str">
        <x:v>Prendas</x:v>
      </x:c>
      <x:c r="D1322" s="15" t="str">
        <x:v>Tienda</x:v>
      </x:c>
      <x:c r="E1322" s="15" t="n">
        <x:v>1</x:v>
      </x:c>
      <x:c r="F1322" s="15" t="n">
        <x:v>0</x:v>
      </x:c>
      <x:c r="G1322" s="19" t="n">
        <x:v>60</x:v>
      </x:c>
      <x:c r="H1322" s="19" t="n">
        <x:v>24</x:v>
      </x:c>
      <x:c r="I1322" s="17" t="n">
        <x:v>0.2</x:v>
      </x:c>
      <x:c r="J1322" s="19" t="n">
        <x:v>2</x:v>
      </x:c>
      <x:c r="K1322" s="19" t="n">
        <x:f>E1322*G1322</x:f>
        <x:v>60</x:v>
      </x:c>
      <x:c r="L1322" s="19" t="n">
        <x:f>K1322*I1322</x:f>
        <x:v>12</x:v>
      </x:c>
      <x:c r="M1322" s="19" t="n">
        <x:f>(E1322-F1322)*G1322*(1-I1322)</x:f>
        <x:v>48</x:v>
      </x:c>
      <x:c r="N1322" s="19" t="n">
        <x:f>(E1322-F1322)*H1322</x:f>
        <x:v>24</x:v>
      </x:c>
      <x:c r="O1322" s="19" t="n">
        <x:f>F1322*J1322</x:f>
        <x:v>0</x:v>
      </x:c>
      <x:c r="P1322" s="19" t="n">
        <x:f>M1322-N1322-O1322</x:f>
        <x:v>24</x:v>
      </x:c>
    </x:row>
    <x:row r="1323">
      <x:c r="A1323" s="15" t="str">
        <x:v>SIM-1319</x:v>
      </x:c>
      <x:c r="B1323" s="15" t="str">
        <x:v>2026-06</x:v>
      </x:c>
      <x:c r="C1323" s="15" t="str">
        <x:v>Prendas</x:v>
      </x:c>
      <x:c r="D1323" s="15" t="str">
        <x:v>Online</x:v>
      </x:c>
      <x:c r="E1323" s="15" t="n">
        <x:v>1</x:v>
      </x:c>
      <x:c r="F1323" s="15" t="n">
        <x:v>0</x:v>
      </x:c>
      <x:c r="G1323" s="19" t="n">
        <x:v>60</x:v>
      </x:c>
      <x:c r="H1323" s="19" t="n">
        <x:v>24</x:v>
      </x:c>
      <x:c r="I1323" s="17" t="n">
        <x:v>0</x:v>
      </x:c>
      <x:c r="J1323" s="19" t="n">
        <x:v>6</x:v>
      </x:c>
      <x:c r="K1323" s="19" t="n">
        <x:f>E1323*G1323</x:f>
        <x:v>60</x:v>
      </x:c>
      <x:c r="L1323" s="19" t="n">
        <x:f>K1323*I1323</x:f>
        <x:v>0</x:v>
      </x:c>
      <x:c r="M1323" s="19" t="n">
        <x:f>(E1323-F1323)*G1323*(1-I1323)</x:f>
        <x:v>60</x:v>
      </x:c>
      <x:c r="N1323" s="19" t="n">
        <x:f>(E1323-F1323)*H1323</x:f>
        <x:v>24</x:v>
      </x:c>
      <x:c r="O1323" s="19" t="n">
        <x:f>F1323*J1323</x:f>
        <x:v>0</x:v>
      </x:c>
      <x:c r="P1323" s="19" t="n">
        <x:f>M1323-N1323-O1323</x:f>
        <x:v>36</x:v>
      </x:c>
    </x:row>
    <x:row r="1324">
      <x:c r="A1324" s="15" t="str">
        <x:v>SIM-1320</x:v>
      </x:c>
      <x:c r="B1324" s="15" t="str">
        <x:v>2026-06</x:v>
      </x:c>
      <x:c r="C1324" s="15" t="str">
        <x:v>Calzado</x:v>
      </x:c>
      <x:c r="D1324" s="15" t="str">
        <x:v>Tienda</x:v>
      </x:c>
      <x:c r="E1324" s="15" t="n">
        <x:v>1</x:v>
      </x:c>
      <x:c r="F1324" s="15" t="n">
        <x:v>0</x:v>
      </x:c>
      <x:c r="G1324" s="19" t="n">
        <x:v>90</x:v>
      </x:c>
      <x:c r="H1324" s="19" t="n">
        <x:v>42</x:v>
      </x:c>
      <x:c r="I1324" s="17" t="n">
        <x:v>0.1</x:v>
      </x:c>
      <x:c r="J1324" s="19" t="n">
        <x:v>2</x:v>
      </x:c>
      <x:c r="K1324" s="19" t="n">
        <x:f>E1324*G1324</x:f>
        <x:v>90</x:v>
      </x:c>
      <x:c r="L1324" s="19" t="n">
        <x:f>K1324*I1324</x:f>
        <x:v>9</x:v>
      </x:c>
      <x:c r="M1324" s="19" t="n">
        <x:f>(E1324-F1324)*G1324*(1-I1324)</x:f>
        <x:v>81</x:v>
      </x:c>
      <x:c r="N1324" s="19" t="n">
        <x:f>(E1324-F1324)*H1324</x:f>
        <x:v>42</x:v>
      </x:c>
      <x:c r="O1324" s="19" t="n">
        <x:f>F1324*J1324</x:f>
        <x:v>0</x:v>
      </x:c>
      <x:c r="P1324" s="19" t="n">
        <x:f>M1324-N1324-O1324</x:f>
        <x:v>39</x:v>
      </x:c>
    </x:row>
    <x:row r="1325">
      <x:c r="A1325" s="15" t="str">
        <x:v>SIM-1321</x:v>
      </x:c>
      <x:c r="B1325" s="15" t="str">
        <x:v>2026-06</x:v>
      </x:c>
      <x:c r="C1325" s="15" t="str">
        <x:v>Prendas</x:v>
      </x:c>
      <x:c r="D1325" s="15" t="str">
        <x:v>Online</x:v>
      </x:c>
      <x:c r="E1325" s="15" t="n">
        <x:v>1</x:v>
      </x:c>
      <x:c r="F1325" s="15" t="n">
        <x:v>0</x:v>
      </x:c>
      <x:c r="G1325" s="19" t="n">
        <x:v>60</x:v>
      </x:c>
      <x:c r="H1325" s="19" t="n">
        <x:v>24</x:v>
      </x:c>
      <x:c r="I1325" s="17" t="n">
        <x:v>0.2</x:v>
      </x:c>
      <x:c r="J1325" s="19" t="n">
        <x:v>6</x:v>
      </x:c>
      <x:c r="K1325" s="19" t="n">
        <x:f>E1325*G1325</x:f>
        <x:v>60</x:v>
      </x:c>
      <x:c r="L1325" s="19" t="n">
        <x:f>K1325*I1325</x:f>
        <x:v>12</x:v>
      </x:c>
      <x:c r="M1325" s="19" t="n">
        <x:f>(E1325-F1325)*G1325*(1-I1325)</x:f>
        <x:v>48</x:v>
      </x:c>
      <x:c r="N1325" s="19" t="n">
        <x:f>(E1325-F1325)*H1325</x:f>
        <x:v>24</x:v>
      </x:c>
      <x:c r="O1325" s="19" t="n">
        <x:f>F1325*J1325</x:f>
        <x:v>0</x:v>
      </x:c>
      <x:c r="P1325" s="19" t="n">
        <x:f>M1325-N1325-O1325</x:f>
        <x:v>24</x:v>
      </x:c>
    </x:row>
    <x:row r="1326">
      <x:c r="A1326" s="15" t="str">
        <x:v>SIM-1322</x:v>
      </x:c>
      <x:c r="B1326" s="15" t="str">
        <x:v>2026-06</x:v>
      </x:c>
      <x:c r="C1326" s="15" t="str">
        <x:v>Accesorios</x:v>
      </x:c>
      <x:c r="D1326" s="15" t="str">
        <x:v>Tienda</x:v>
      </x:c>
      <x:c r="E1326" s="15" t="n">
        <x:v>1</x:v>
      </x:c>
      <x:c r="F1326" s="15" t="n">
        <x:v>0</x:v>
      </x:c>
      <x:c r="G1326" s="19" t="n">
        <x:v>30</x:v>
      </x:c>
      <x:c r="H1326" s="19" t="n">
        <x:v>9</x:v>
      </x:c>
      <x:c r="I1326" s="17" t="n">
        <x:v>0.3</x:v>
      </x:c>
      <x:c r="J1326" s="19" t="n">
        <x:v>2</x:v>
      </x:c>
      <x:c r="K1326" s="19" t="n">
        <x:f>E1326*G1326</x:f>
        <x:v>30</x:v>
      </x:c>
      <x:c r="L1326" s="19" t="n">
        <x:f>K1326*I1326</x:f>
        <x:v>9</x:v>
      </x:c>
      <x:c r="M1326" s="19" t="n">
        <x:f>(E1326-F1326)*G1326*(1-I1326)</x:f>
        <x:v>21</x:v>
      </x:c>
      <x:c r="N1326" s="19" t="n">
        <x:f>(E1326-F1326)*H1326</x:f>
        <x:v>9</x:v>
      </x:c>
      <x:c r="O1326" s="19" t="n">
        <x:f>F1326*J1326</x:f>
        <x:v>0</x:v>
      </x:c>
      <x:c r="P1326" s="19" t="n">
        <x:f>M1326-N1326-O1326</x:f>
        <x:v>12</x:v>
      </x:c>
    </x:row>
    <x:row r="1327">
      <x:c r="A1327" s="15" t="str">
        <x:v>SIM-1323</x:v>
      </x:c>
      <x:c r="B1327" s="15" t="str">
        <x:v>2026-06</x:v>
      </x:c>
      <x:c r="C1327" s="15" t="str">
        <x:v>Prendas</x:v>
      </x:c>
      <x:c r="D1327" s="15" t="str">
        <x:v>Tienda</x:v>
      </x:c>
      <x:c r="E1327" s="15" t="n">
        <x:v>2</x:v>
      </x:c>
      <x:c r="F1327" s="15" t="n">
        <x:v>0</x:v>
      </x:c>
      <x:c r="G1327" s="19" t="n">
        <x:v>60</x:v>
      </x:c>
      <x:c r="H1327" s="19" t="n">
        <x:v>24</x:v>
      </x:c>
      <x:c r="I1327" s="17" t="n">
        <x:v>0</x:v>
      </x:c>
      <x:c r="J1327" s="19" t="n">
        <x:v>2</x:v>
      </x:c>
      <x:c r="K1327" s="19" t="n">
        <x:f>E1327*G1327</x:f>
        <x:v>120</x:v>
      </x:c>
      <x:c r="L1327" s="19" t="n">
        <x:f>K1327*I1327</x:f>
        <x:v>0</x:v>
      </x:c>
      <x:c r="M1327" s="19" t="n">
        <x:f>(E1327-F1327)*G1327*(1-I1327)</x:f>
        <x:v>120</x:v>
      </x:c>
      <x:c r="N1327" s="19" t="n">
        <x:f>(E1327-F1327)*H1327</x:f>
        <x:v>48</x:v>
      </x:c>
      <x:c r="O1327" s="19" t="n">
        <x:f>F1327*J1327</x:f>
        <x:v>0</x:v>
      </x:c>
      <x:c r="P1327" s="19" t="n">
        <x:f>M1327-N1327-O1327</x:f>
        <x:v>72</x:v>
      </x:c>
    </x:row>
    <x:row r="1328">
      <x:c r="A1328" s="15" t="str">
        <x:v>SIM-1324</x:v>
      </x:c>
      <x:c r="B1328" s="15" t="str">
        <x:v>2026-06</x:v>
      </x:c>
      <x:c r="C1328" s="15" t="str">
        <x:v>Accesorios</x:v>
      </x:c>
      <x:c r="D1328" s="15" t="str">
        <x:v>Online</x:v>
      </x:c>
      <x:c r="E1328" s="15" t="n">
        <x:v>1</x:v>
      </x:c>
      <x:c r="F1328" s="15" t="n">
        <x:v>0</x:v>
      </x:c>
      <x:c r="G1328" s="19" t="n">
        <x:v>30</x:v>
      </x:c>
      <x:c r="H1328" s="19" t="n">
        <x:v>9</x:v>
      </x:c>
      <x:c r="I1328" s="17" t="n">
        <x:v>0.2</x:v>
      </x:c>
      <x:c r="J1328" s="19" t="n">
        <x:v>6</x:v>
      </x:c>
      <x:c r="K1328" s="19" t="n">
        <x:f>E1328*G1328</x:f>
        <x:v>30</x:v>
      </x:c>
      <x:c r="L1328" s="19" t="n">
        <x:f>K1328*I1328</x:f>
        <x:v>6</x:v>
      </x:c>
      <x:c r="M1328" s="19" t="n">
        <x:f>(E1328-F1328)*G1328*(1-I1328)</x:f>
        <x:v>24</x:v>
      </x:c>
      <x:c r="N1328" s="19" t="n">
        <x:f>(E1328-F1328)*H1328</x:f>
        <x:v>9</x:v>
      </x:c>
      <x:c r="O1328" s="19" t="n">
        <x:f>F1328*J1328</x:f>
        <x:v>0</x:v>
      </x:c>
      <x:c r="P1328" s="19" t="n">
        <x:f>M1328-N1328-O1328</x:f>
        <x:v>15</x:v>
      </x:c>
    </x:row>
    <x:row r="1329">
      <x:c r="A1329" s="15" t="str">
        <x:v>SIM-1325</x:v>
      </x:c>
      <x:c r="B1329" s="15" t="str">
        <x:v>2026-06</x:v>
      </x:c>
      <x:c r="C1329" s="15" t="str">
        <x:v>Prendas</x:v>
      </x:c>
      <x:c r="D1329" s="15" t="str">
        <x:v>Online</x:v>
      </x:c>
      <x:c r="E1329" s="15" t="n">
        <x:v>2</x:v>
      </x:c>
      <x:c r="F1329" s="15" t="n">
        <x:v>0</x:v>
      </x:c>
      <x:c r="G1329" s="19" t="n">
        <x:v>60</x:v>
      </x:c>
      <x:c r="H1329" s="19" t="n">
        <x:v>24</x:v>
      </x:c>
      <x:c r="I1329" s="17" t="n">
        <x:v>0.2</x:v>
      </x:c>
      <x:c r="J1329" s="19" t="n">
        <x:v>6</x:v>
      </x:c>
      <x:c r="K1329" s="19" t="n">
        <x:f>E1329*G1329</x:f>
        <x:v>120</x:v>
      </x:c>
      <x:c r="L1329" s="19" t="n">
        <x:f>K1329*I1329</x:f>
        <x:v>24</x:v>
      </x:c>
      <x:c r="M1329" s="19" t="n">
        <x:f>(E1329-F1329)*G1329*(1-I1329)</x:f>
        <x:v>96</x:v>
      </x:c>
      <x:c r="N1329" s="19" t="n">
        <x:f>(E1329-F1329)*H1329</x:f>
        <x:v>48</x:v>
      </x:c>
      <x:c r="O1329" s="19" t="n">
        <x:f>F1329*J1329</x:f>
        <x:v>0</x:v>
      </x:c>
      <x:c r="P1329" s="19" t="n">
        <x:f>M1329-N1329-O1329</x:f>
        <x:v>48</x:v>
      </x:c>
    </x:row>
    <x:row r="1330">
      <x:c r="A1330" s="15" t="str">
        <x:v>SIM-1326</x:v>
      </x:c>
      <x:c r="B1330" s="15" t="str">
        <x:v>2026-06</x:v>
      </x:c>
      <x:c r="C1330" s="15" t="str">
        <x:v>Prendas</x:v>
      </x:c>
      <x:c r="D1330" s="15" t="str">
        <x:v>Online</x:v>
      </x:c>
      <x:c r="E1330" s="15" t="n">
        <x:v>2</x:v>
      </x:c>
      <x:c r="F1330" s="15" t="n">
        <x:v>0</x:v>
      </x:c>
      <x:c r="G1330" s="19" t="n">
        <x:v>60</x:v>
      </x:c>
      <x:c r="H1330" s="19" t="n">
        <x:v>24</x:v>
      </x:c>
      <x:c r="I1330" s="17" t="n">
        <x:v>0</x:v>
      </x:c>
      <x:c r="J1330" s="19" t="n">
        <x:v>6</x:v>
      </x:c>
      <x:c r="K1330" s="19" t="n">
        <x:f>E1330*G1330</x:f>
        <x:v>120</x:v>
      </x:c>
      <x:c r="L1330" s="19" t="n">
        <x:f>K1330*I1330</x:f>
        <x:v>0</x:v>
      </x:c>
      <x:c r="M1330" s="19" t="n">
        <x:f>(E1330-F1330)*G1330*(1-I1330)</x:f>
        <x:v>120</x:v>
      </x:c>
      <x:c r="N1330" s="19" t="n">
        <x:f>(E1330-F1330)*H1330</x:f>
        <x:v>48</x:v>
      </x:c>
      <x:c r="O1330" s="19" t="n">
        <x:f>F1330*J1330</x:f>
        <x:v>0</x:v>
      </x:c>
      <x:c r="P1330" s="19" t="n">
        <x:f>M1330-N1330-O1330</x:f>
        <x:v>72</x:v>
      </x:c>
    </x:row>
    <x:row r="1331">
      <x:c r="A1331" s="15" t="str">
        <x:v>SIM-1327</x:v>
      </x:c>
      <x:c r="B1331" s="15" t="str">
        <x:v>2026-06</x:v>
      </x:c>
      <x:c r="C1331" s="15" t="str">
        <x:v>Prendas</x:v>
      </x:c>
      <x:c r="D1331" s="15" t="str">
        <x:v>Tienda</x:v>
      </x:c>
      <x:c r="E1331" s="15" t="n">
        <x:v>1</x:v>
      </x:c>
      <x:c r="F1331" s="15" t="n">
        <x:v>1</x:v>
      </x:c>
      <x:c r="G1331" s="19" t="n">
        <x:v>60</x:v>
      </x:c>
      <x:c r="H1331" s="19" t="n">
        <x:v>24</x:v>
      </x:c>
      <x:c r="I1331" s="17" t="n">
        <x:v>0</x:v>
      </x:c>
      <x:c r="J1331" s="19" t="n">
        <x:v>2</x:v>
      </x:c>
      <x:c r="K1331" s="19" t="n">
        <x:f>E1331*G1331</x:f>
        <x:v>60</x:v>
      </x:c>
      <x:c r="L1331" s="19" t="n">
        <x:f>K1331*I1331</x:f>
        <x:v>0</x:v>
      </x:c>
      <x:c r="M1331" s="19" t="n">
        <x:f>(E1331-F1331)*G1331*(1-I1331)</x:f>
        <x:v>0</x:v>
      </x:c>
      <x:c r="N1331" s="19" t="n">
        <x:f>(E1331-F1331)*H1331</x:f>
        <x:v>0</x:v>
      </x:c>
      <x:c r="O1331" s="19" t="n">
        <x:f>F1331*J1331</x:f>
        <x:v>2</x:v>
      </x:c>
      <x:c r="P1331" s="19" t="n">
        <x:f>M1331-N1331-O1331</x:f>
        <x:v>-2</x:v>
      </x:c>
    </x:row>
    <x:row r="1332">
      <x:c r="A1332" s="15" t="str">
        <x:v>SIM-1328</x:v>
      </x:c>
      <x:c r="B1332" s="15" t="str">
        <x:v>2026-06</x:v>
      </x:c>
      <x:c r="C1332" s="15" t="str">
        <x:v>Prendas</x:v>
      </x:c>
      <x:c r="D1332" s="15" t="str">
        <x:v>Tienda</x:v>
      </x:c>
      <x:c r="E1332" s="15" t="n">
        <x:v>3</x:v>
      </x:c>
      <x:c r="F1332" s="15" t="n">
        <x:v>0</x:v>
      </x:c>
      <x:c r="G1332" s="19" t="n">
        <x:v>60</x:v>
      </x:c>
      <x:c r="H1332" s="19" t="n">
        <x:v>24</x:v>
      </x:c>
      <x:c r="I1332" s="17" t="n">
        <x:v>0.3</x:v>
      </x:c>
      <x:c r="J1332" s="19" t="n">
        <x:v>2</x:v>
      </x:c>
      <x:c r="K1332" s="19" t="n">
        <x:f>E1332*G1332</x:f>
        <x:v>180</x:v>
      </x:c>
      <x:c r="L1332" s="19" t="n">
        <x:f>K1332*I1332</x:f>
        <x:v>54</x:v>
      </x:c>
      <x:c r="M1332" s="19" t="n">
        <x:f>(E1332-F1332)*G1332*(1-I1332)</x:f>
        <x:v>125.99999999999999</x:v>
      </x:c>
      <x:c r="N1332" s="19" t="n">
        <x:f>(E1332-F1332)*H1332</x:f>
        <x:v>72</x:v>
      </x:c>
      <x:c r="O1332" s="19" t="n">
        <x:f>F1332*J1332</x:f>
        <x:v>0</x:v>
      </x:c>
      <x:c r="P1332" s="19" t="n">
        <x:f>M1332-N1332-O1332</x:f>
        <x:v>53.999999999999986</x:v>
      </x:c>
    </x:row>
    <x:row r="1333">
      <x:c r="A1333" s="15" t="str">
        <x:v>SIM-1329</x:v>
      </x:c>
      <x:c r="B1333" s="15" t="str">
        <x:v>2026-06</x:v>
      </x:c>
      <x:c r="C1333" s="15" t="str">
        <x:v>Calzado</x:v>
      </x:c>
      <x:c r="D1333" s="15" t="str">
        <x:v>Tienda</x:v>
      </x:c>
      <x:c r="E1333" s="15" t="n">
        <x:v>2</x:v>
      </x:c>
      <x:c r="F1333" s="15" t="n">
        <x:v>0</x:v>
      </x:c>
      <x:c r="G1333" s="19" t="n">
        <x:v>90</x:v>
      </x:c>
      <x:c r="H1333" s="19" t="n">
        <x:v>42</x:v>
      </x:c>
      <x:c r="I1333" s="17" t="n">
        <x:v>0.3</x:v>
      </x:c>
      <x:c r="J1333" s="19" t="n">
        <x:v>2</x:v>
      </x:c>
      <x:c r="K1333" s="19" t="n">
        <x:f>E1333*G1333</x:f>
        <x:v>180</x:v>
      </x:c>
      <x:c r="L1333" s="19" t="n">
        <x:f>K1333*I1333</x:f>
        <x:v>54</x:v>
      </x:c>
      <x:c r="M1333" s="19" t="n">
        <x:f>(E1333-F1333)*G1333*(1-I1333)</x:f>
        <x:v>125.99999999999999</x:v>
      </x:c>
      <x:c r="N1333" s="19" t="n">
        <x:f>(E1333-F1333)*H1333</x:f>
        <x:v>84</x:v>
      </x:c>
      <x:c r="O1333" s="19" t="n">
        <x:f>F1333*J1333</x:f>
        <x:v>0</x:v>
      </x:c>
      <x:c r="P1333" s="19" t="n">
        <x:f>M1333-N1333-O1333</x:f>
        <x:v>41.999999999999986</x:v>
      </x:c>
    </x:row>
    <x:row r="1334">
      <x:c r="A1334" s="15" t="str">
        <x:v>SIM-1330</x:v>
      </x:c>
      <x:c r="B1334" s="15" t="str">
        <x:v>2026-06</x:v>
      </x:c>
      <x:c r="C1334" s="15" t="str">
        <x:v>Prendas</x:v>
      </x:c>
      <x:c r="D1334" s="15" t="str">
        <x:v>Tienda</x:v>
      </x:c>
      <x:c r="E1334" s="15" t="n">
        <x:v>1</x:v>
      </x:c>
      <x:c r="F1334" s="15" t="n">
        <x:v>0</x:v>
      </x:c>
      <x:c r="G1334" s="19" t="n">
        <x:v>60</x:v>
      </x:c>
      <x:c r="H1334" s="19" t="n">
        <x:v>24</x:v>
      </x:c>
      <x:c r="I1334" s="17" t="n">
        <x:v>0.2</x:v>
      </x:c>
      <x:c r="J1334" s="19" t="n">
        <x:v>2</x:v>
      </x:c>
      <x:c r="K1334" s="19" t="n">
        <x:f>E1334*G1334</x:f>
        <x:v>60</x:v>
      </x:c>
      <x:c r="L1334" s="19" t="n">
        <x:f>K1334*I1334</x:f>
        <x:v>12</x:v>
      </x:c>
      <x:c r="M1334" s="19" t="n">
        <x:f>(E1334-F1334)*G1334*(1-I1334)</x:f>
        <x:v>48</x:v>
      </x:c>
      <x:c r="N1334" s="19" t="n">
        <x:f>(E1334-F1334)*H1334</x:f>
        <x:v>24</x:v>
      </x:c>
      <x:c r="O1334" s="19" t="n">
        <x:f>F1334*J1334</x:f>
        <x:v>0</x:v>
      </x:c>
      <x:c r="P1334" s="19" t="n">
        <x:f>M1334-N1334-O1334</x:f>
        <x:v>24</x:v>
      </x:c>
    </x:row>
    <x:row r="1335">
      <x:c r="A1335" s="15" t="str">
        <x:v>SIM-1331</x:v>
      </x:c>
      <x:c r="B1335" s="15" t="str">
        <x:v>2026-06</x:v>
      </x:c>
      <x:c r="C1335" s="15" t="str">
        <x:v>Accesorios</x:v>
      </x:c>
      <x:c r="D1335" s="15" t="str">
        <x:v>Online</x:v>
      </x:c>
      <x:c r="E1335" s="15" t="n">
        <x:v>2</x:v>
      </x:c>
      <x:c r="F1335" s="15" t="n">
        <x:v>0</x:v>
      </x:c>
      <x:c r="G1335" s="19" t="n">
        <x:v>30</x:v>
      </x:c>
      <x:c r="H1335" s="19" t="n">
        <x:v>9</x:v>
      </x:c>
      <x:c r="I1335" s="17" t="n">
        <x:v>0</x:v>
      </x:c>
      <x:c r="J1335" s="19" t="n">
        <x:v>6</x:v>
      </x:c>
      <x:c r="K1335" s="19" t="n">
        <x:f>E1335*G1335</x:f>
        <x:v>60</x:v>
      </x:c>
      <x:c r="L1335" s="19" t="n">
        <x:f>K1335*I1335</x:f>
        <x:v>0</x:v>
      </x:c>
      <x:c r="M1335" s="19" t="n">
        <x:f>(E1335-F1335)*G1335*(1-I1335)</x:f>
        <x:v>60</x:v>
      </x:c>
      <x:c r="N1335" s="19" t="n">
        <x:f>(E1335-F1335)*H1335</x:f>
        <x:v>18</x:v>
      </x:c>
      <x:c r="O1335" s="19" t="n">
        <x:f>F1335*J1335</x:f>
        <x:v>0</x:v>
      </x:c>
      <x:c r="P1335" s="19" t="n">
        <x:f>M1335-N1335-O1335</x:f>
        <x:v>42</x:v>
      </x:c>
    </x:row>
    <x:row r="1336">
      <x:c r="A1336" s="15" t="str">
        <x:v>SIM-1332</x:v>
      </x:c>
      <x:c r="B1336" s="15" t="str">
        <x:v>2026-06</x:v>
      </x:c>
      <x:c r="C1336" s="15" t="str">
        <x:v>Accesorios</x:v>
      </x:c>
      <x:c r="D1336" s="15" t="str">
        <x:v>Online</x:v>
      </x:c>
      <x:c r="E1336" s="15" t="n">
        <x:v>1</x:v>
      </x:c>
      <x:c r="F1336" s="15" t="n">
        <x:v>0</x:v>
      </x:c>
      <x:c r="G1336" s="19" t="n">
        <x:v>30</x:v>
      </x:c>
      <x:c r="H1336" s="19" t="n">
        <x:v>9</x:v>
      </x:c>
      <x:c r="I1336" s="17" t="n">
        <x:v>0.3</x:v>
      </x:c>
      <x:c r="J1336" s="19" t="n">
        <x:v>6</x:v>
      </x:c>
      <x:c r="K1336" s="19" t="n">
        <x:f>E1336*G1336</x:f>
        <x:v>30</x:v>
      </x:c>
      <x:c r="L1336" s="19" t="n">
        <x:f>K1336*I1336</x:f>
        <x:v>9</x:v>
      </x:c>
      <x:c r="M1336" s="19" t="n">
        <x:f>(E1336-F1336)*G1336*(1-I1336)</x:f>
        <x:v>21</x:v>
      </x:c>
      <x:c r="N1336" s="19" t="n">
        <x:f>(E1336-F1336)*H1336</x:f>
        <x:v>9</x:v>
      </x:c>
      <x:c r="O1336" s="19" t="n">
        <x:f>F1336*J1336</x:f>
        <x:v>0</x:v>
      </x:c>
      <x:c r="P1336" s="19" t="n">
        <x:f>M1336-N1336-O1336</x:f>
        <x:v>12</x:v>
      </x:c>
    </x:row>
    <x:row r="1337">
      <x:c r="A1337" s="15" t="str">
        <x:v>SIM-1333</x:v>
      </x:c>
      <x:c r="B1337" s="15" t="str">
        <x:v>2026-06</x:v>
      </x:c>
      <x:c r="C1337" s="15" t="str">
        <x:v>Prendas</x:v>
      </x:c>
      <x:c r="D1337" s="15" t="str">
        <x:v>Online</x:v>
      </x:c>
      <x:c r="E1337" s="15" t="n">
        <x:v>2</x:v>
      </x:c>
      <x:c r="F1337" s="15" t="n">
        <x:v>0</x:v>
      </x:c>
      <x:c r="G1337" s="19" t="n">
        <x:v>60</x:v>
      </x:c>
      <x:c r="H1337" s="19" t="n">
        <x:v>24</x:v>
      </x:c>
      <x:c r="I1337" s="17" t="n">
        <x:v>0</x:v>
      </x:c>
      <x:c r="J1337" s="19" t="n">
        <x:v>6</x:v>
      </x:c>
      <x:c r="K1337" s="19" t="n">
        <x:f>E1337*G1337</x:f>
        <x:v>120</x:v>
      </x:c>
      <x:c r="L1337" s="19" t="n">
        <x:f>K1337*I1337</x:f>
        <x:v>0</x:v>
      </x:c>
      <x:c r="M1337" s="19" t="n">
        <x:f>(E1337-F1337)*G1337*(1-I1337)</x:f>
        <x:v>120</x:v>
      </x:c>
      <x:c r="N1337" s="19" t="n">
        <x:f>(E1337-F1337)*H1337</x:f>
        <x:v>48</x:v>
      </x:c>
      <x:c r="O1337" s="19" t="n">
        <x:f>F1337*J1337</x:f>
        <x:v>0</x:v>
      </x:c>
      <x:c r="P1337" s="19" t="n">
        <x:f>M1337-N1337-O1337</x:f>
        <x:v>72</x:v>
      </x:c>
    </x:row>
    <x:row r="1338">
      <x:c r="A1338" s="15" t="str">
        <x:v>SIM-1334</x:v>
      </x:c>
      <x:c r="B1338" s="15" t="str">
        <x:v>2026-06</x:v>
      </x:c>
      <x:c r="C1338" s="15" t="str">
        <x:v>Accesorios</x:v>
      </x:c>
      <x:c r="D1338" s="15" t="str">
        <x:v>Online</x:v>
      </x:c>
      <x:c r="E1338" s="15" t="n">
        <x:v>3</x:v>
      </x:c>
      <x:c r="F1338" s="15" t="n">
        <x:v>0</x:v>
      </x:c>
      <x:c r="G1338" s="19" t="n">
        <x:v>30</x:v>
      </x:c>
      <x:c r="H1338" s="19" t="n">
        <x:v>9</x:v>
      </x:c>
      <x:c r="I1338" s="17" t="n">
        <x:v>0</x:v>
      </x:c>
      <x:c r="J1338" s="19" t="n">
        <x:v>6</x:v>
      </x:c>
      <x:c r="K1338" s="19" t="n">
        <x:f>E1338*G1338</x:f>
        <x:v>90</x:v>
      </x:c>
      <x:c r="L1338" s="19" t="n">
        <x:f>K1338*I1338</x:f>
        <x:v>0</x:v>
      </x:c>
      <x:c r="M1338" s="19" t="n">
        <x:f>(E1338-F1338)*G1338*(1-I1338)</x:f>
        <x:v>90</x:v>
      </x:c>
      <x:c r="N1338" s="19" t="n">
        <x:f>(E1338-F1338)*H1338</x:f>
        <x:v>27</x:v>
      </x:c>
      <x:c r="O1338" s="19" t="n">
        <x:f>F1338*J1338</x:f>
        <x:v>0</x:v>
      </x:c>
      <x:c r="P1338" s="19" t="n">
        <x:f>M1338-N1338-O1338</x:f>
        <x:v>63</x:v>
      </x:c>
    </x:row>
    <x:row r="1339">
      <x:c r="A1339" s="15" t="str">
        <x:v>SIM-1335</x:v>
      </x:c>
      <x:c r="B1339" s="15" t="str">
        <x:v>2026-06</x:v>
      </x:c>
      <x:c r="C1339" s="15" t="str">
        <x:v>Calzado</x:v>
      </x:c>
      <x:c r="D1339" s="15" t="str">
        <x:v>Online</x:v>
      </x:c>
      <x:c r="E1339" s="15" t="n">
        <x:v>2</x:v>
      </x:c>
      <x:c r="F1339" s="15" t="n">
        <x:v>0</x:v>
      </x:c>
      <x:c r="G1339" s="19" t="n">
        <x:v>90</x:v>
      </x:c>
      <x:c r="H1339" s="19" t="n">
        <x:v>42</x:v>
      </x:c>
      <x:c r="I1339" s="17" t="n">
        <x:v>0.2</x:v>
      </x:c>
      <x:c r="J1339" s="19" t="n">
        <x:v>6</x:v>
      </x:c>
      <x:c r="K1339" s="19" t="n">
        <x:f>E1339*G1339</x:f>
        <x:v>180</x:v>
      </x:c>
      <x:c r="L1339" s="19" t="n">
        <x:f>K1339*I1339</x:f>
        <x:v>36</x:v>
      </x:c>
      <x:c r="M1339" s="19" t="n">
        <x:f>(E1339-F1339)*G1339*(1-I1339)</x:f>
        <x:v>144</x:v>
      </x:c>
      <x:c r="N1339" s="19" t="n">
        <x:f>(E1339-F1339)*H1339</x:f>
        <x:v>84</x:v>
      </x:c>
      <x:c r="O1339" s="19" t="n">
        <x:f>F1339*J1339</x:f>
        <x:v>0</x:v>
      </x:c>
      <x:c r="P1339" s="19" t="n">
        <x:f>M1339-N1339-O1339</x:f>
        <x:v>60</x:v>
      </x:c>
    </x:row>
    <x:row r="1340">
      <x:c r="A1340" s="15" t="str">
        <x:v>SIM-1336</x:v>
      </x:c>
      <x:c r="B1340" s="15" t="str">
        <x:v>2026-06</x:v>
      </x:c>
      <x:c r="C1340" s="15" t="str">
        <x:v>Prendas</x:v>
      </x:c>
      <x:c r="D1340" s="15" t="str">
        <x:v>Online</x:v>
      </x:c>
      <x:c r="E1340" s="15" t="n">
        <x:v>1</x:v>
      </x:c>
      <x:c r="F1340" s="15" t="n">
        <x:v>0</x:v>
      </x:c>
      <x:c r="G1340" s="19" t="n">
        <x:v>60</x:v>
      </x:c>
      <x:c r="H1340" s="19" t="n">
        <x:v>24</x:v>
      </x:c>
      <x:c r="I1340" s="17" t="n">
        <x:v>0.2</x:v>
      </x:c>
      <x:c r="J1340" s="19" t="n">
        <x:v>6</x:v>
      </x:c>
      <x:c r="K1340" s="19" t="n">
        <x:f>E1340*G1340</x:f>
        <x:v>60</x:v>
      </x:c>
      <x:c r="L1340" s="19" t="n">
        <x:f>K1340*I1340</x:f>
        <x:v>12</x:v>
      </x:c>
      <x:c r="M1340" s="19" t="n">
        <x:f>(E1340-F1340)*G1340*(1-I1340)</x:f>
        <x:v>48</x:v>
      </x:c>
      <x:c r="N1340" s="19" t="n">
        <x:f>(E1340-F1340)*H1340</x:f>
        <x:v>24</x:v>
      </x:c>
      <x:c r="O1340" s="19" t="n">
        <x:f>F1340*J1340</x:f>
        <x:v>0</x:v>
      </x:c>
      <x:c r="P1340" s="19" t="n">
        <x:f>M1340-N1340-O1340</x:f>
        <x:v>24</x:v>
      </x:c>
    </x:row>
    <x:row r="1341">
      <x:c r="A1341" s="15" t="str">
        <x:v>SIM-1337</x:v>
      </x:c>
      <x:c r="B1341" s="15" t="str">
        <x:v>2026-06</x:v>
      </x:c>
      <x:c r="C1341" s="15" t="str">
        <x:v>Calzado</x:v>
      </x:c>
      <x:c r="D1341" s="15" t="str">
        <x:v>Online</x:v>
      </x:c>
      <x:c r="E1341" s="15" t="n">
        <x:v>1</x:v>
      </x:c>
      <x:c r="F1341" s="15" t="n">
        <x:v>0</x:v>
      </x:c>
      <x:c r="G1341" s="19" t="n">
        <x:v>90</x:v>
      </x:c>
      <x:c r="H1341" s="19" t="n">
        <x:v>42</x:v>
      </x:c>
      <x:c r="I1341" s="17" t="n">
        <x:v>0.2</x:v>
      </x:c>
      <x:c r="J1341" s="19" t="n">
        <x:v>6</x:v>
      </x:c>
      <x:c r="K1341" s="19" t="n">
        <x:f>E1341*G1341</x:f>
        <x:v>90</x:v>
      </x:c>
      <x:c r="L1341" s="19" t="n">
        <x:f>K1341*I1341</x:f>
        <x:v>18</x:v>
      </x:c>
      <x:c r="M1341" s="19" t="n">
        <x:f>(E1341-F1341)*G1341*(1-I1341)</x:f>
        <x:v>72</x:v>
      </x:c>
      <x:c r="N1341" s="19" t="n">
        <x:f>(E1341-F1341)*H1341</x:f>
        <x:v>42</x:v>
      </x:c>
      <x:c r="O1341" s="19" t="n">
        <x:f>F1341*J1341</x:f>
        <x:v>0</x:v>
      </x:c>
      <x:c r="P1341" s="19" t="n">
        <x:f>M1341-N1341-O1341</x:f>
        <x:v>30</x:v>
      </x:c>
    </x:row>
    <x:row r="1342">
      <x:c r="A1342" s="15" t="str">
        <x:v>SIM-1338</x:v>
      </x:c>
      <x:c r="B1342" s="15" t="str">
        <x:v>2026-06</x:v>
      </x:c>
      <x:c r="C1342" s="15" t="str">
        <x:v>Prendas</x:v>
      </x:c>
      <x:c r="D1342" s="15" t="str">
        <x:v>Online</x:v>
      </x:c>
      <x:c r="E1342" s="15" t="n">
        <x:v>1</x:v>
      </x:c>
      <x:c r="F1342" s="15" t="n">
        <x:v>1</x:v>
      </x:c>
      <x:c r="G1342" s="19" t="n">
        <x:v>60</x:v>
      </x:c>
      <x:c r="H1342" s="19" t="n">
        <x:v>24</x:v>
      </x:c>
      <x:c r="I1342" s="17" t="n">
        <x:v>0.1</x:v>
      </x:c>
      <x:c r="J1342" s="19" t="n">
        <x:v>6</x:v>
      </x:c>
      <x:c r="K1342" s="19" t="n">
        <x:f>E1342*G1342</x:f>
        <x:v>60</x:v>
      </x:c>
      <x:c r="L1342" s="19" t="n">
        <x:f>K1342*I1342</x:f>
        <x:v>6</x:v>
      </x:c>
      <x:c r="M1342" s="19" t="n">
        <x:f>(E1342-F1342)*G1342*(1-I1342)</x:f>
        <x:v>0</x:v>
      </x:c>
      <x:c r="N1342" s="19" t="n">
        <x:f>(E1342-F1342)*H1342</x:f>
        <x:v>0</x:v>
      </x:c>
      <x:c r="O1342" s="19" t="n">
        <x:f>F1342*J1342</x:f>
        <x:v>6</x:v>
      </x:c>
      <x:c r="P1342" s="19" t="n">
        <x:f>M1342-N1342-O1342</x:f>
        <x:v>-6</x:v>
      </x:c>
    </x:row>
    <x:row r="1343">
      <x:c r="A1343" s="15" t="str">
        <x:v>SIM-1339</x:v>
      </x:c>
      <x:c r="B1343" s="15" t="str">
        <x:v>2026-06</x:v>
      </x:c>
      <x:c r="C1343" s="15" t="str">
        <x:v>Accesorios</x:v>
      </x:c>
      <x:c r="D1343" s="15" t="str">
        <x:v>Tienda</x:v>
      </x:c>
      <x:c r="E1343" s="15" t="n">
        <x:v>1</x:v>
      </x:c>
      <x:c r="F1343" s="15" t="n">
        <x:v>0</x:v>
      </x:c>
      <x:c r="G1343" s="19" t="n">
        <x:v>30</x:v>
      </x:c>
      <x:c r="H1343" s="19" t="n">
        <x:v>9</x:v>
      </x:c>
      <x:c r="I1343" s="17" t="n">
        <x:v>0.1</x:v>
      </x:c>
      <x:c r="J1343" s="19" t="n">
        <x:v>2</x:v>
      </x:c>
      <x:c r="K1343" s="19" t="n">
        <x:f>E1343*G1343</x:f>
        <x:v>30</x:v>
      </x:c>
      <x:c r="L1343" s="19" t="n">
        <x:f>K1343*I1343</x:f>
        <x:v>3</x:v>
      </x:c>
      <x:c r="M1343" s="19" t="n">
        <x:f>(E1343-F1343)*G1343*(1-I1343)</x:f>
        <x:v>27</x:v>
      </x:c>
      <x:c r="N1343" s="19" t="n">
        <x:f>(E1343-F1343)*H1343</x:f>
        <x:v>9</x:v>
      </x:c>
      <x:c r="O1343" s="19" t="n">
        <x:f>F1343*J1343</x:f>
        <x:v>0</x:v>
      </x:c>
      <x:c r="P1343" s="19" t="n">
        <x:f>M1343-N1343-O1343</x:f>
        <x:v>18</x:v>
      </x:c>
    </x:row>
    <x:row r="1344">
      <x:c r="A1344" s="15" t="str">
        <x:v>SIM-1340</x:v>
      </x:c>
      <x:c r="B1344" s="15" t="str">
        <x:v>2026-06</x:v>
      </x:c>
      <x:c r="C1344" s="15" t="str">
        <x:v>Prendas</x:v>
      </x:c>
      <x:c r="D1344" s="15" t="str">
        <x:v>Online</x:v>
      </x:c>
      <x:c r="E1344" s="15" t="n">
        <x:v>1</x:v>
      </x:c>
      <x:c r="F1344" s="15" t="n">
        <x:v>0</x:v>
      </x:c>
      <x:c r="G1344" s="19" t="n">
        <x:v>60</x:v>
      </x:c>
      <x:c r="H1344" s="19" t="n">
        <x:v>24</x:v>
      </x:c>
      <x:c r="I1344" s="17" t="n">
        <x:v>0</x:v>
      </x:c>
      <x:c r="J1344" s="19" t="n">
        <x:v>6</x:v>
      </x:c>
      <x:c r="K1344" s="19" t="n">
        <x:f>E1344*G1344</x:f>
        <x:v>60</x:v>
      </x:c>
      <x:c r="L1344" s="19" t="n">
        <x:f>K1344*I1344</x:f>
        <x:v>0</x:v>
      </x:c>
      <x:c r="M1344" s="19" t="n">
        <x:f>(E1344-F1344)*G1344*(1-I1344)</x:f>
        <x:v>60</x:v>
      </x:c>
      <x:c r="N1344" s="19" t="n">
        <x:f>(E1344-F1344)*H1344</x:f>
        <x:v>24</x:v>
      </x:c>
      <x:c r="O1344" s="19" t="n">
        <x:f>F1344*J1344</x:f>
        <x:v>0</x:v>
      </x:c>
      <x:c r="P1344" s="19" t="n">
        <x:f>M1344-N1344-O1344</x:f>
        <x:v>36</x:v>
      </x:c>
    </x:row>
    <x:row r="1345">
      <x:c r="A1345" s="15" t="str">
        <x:v>SIM-1341</x:v>
      </x:c>
      <x:c r="B1345" s="15" t="str">
        <x:v>2026-06</x:v>
      </x:c>
      <x:c r="C1345" s="15" t="str">
        <x:v>Calzado</x:v>
      </x:c>
      <x:c r="D1345" s="15" t="str">
        <x:v>Tienda</x:v>
      </x:c>
      <x:c r="E1345" s="15" t="n">
        <x:v>2</x:v>
      </x:c>
      <x:c r="F1345" s="15" t="n">
        <x:v>0</x:v>
      </x:c>
      <x:c r="G1345" s="19" t="n">
        <x:v>90</x:v>
      </x:c>
      <x:c r="H1345" s="19" t="n">
        <x:v>42</x:v>
      </x:c>
      <x:c r="I1345" s="17" t="n">
        <x:v>0</x:v>
      </x:c>
      <x:c r="J1345" s="19" t="n">
        <x:v>2</x:v>
      </x:c>
      <x:c r="K1345" s="19" t="n">
        <x:f>E1345*G1345</x:f>
        <x:v>180</x:v>
      </x:c>
      <x:c r="L1345" s="19" t="n">
        <x:f>K1345*I1345</x:f>
        <x:v>0</x:v>
      </x:c>
      <x:c r="M1345" s="19" t="n">
        <x:f>(E1345-F1345)*G1345*(1-I1345)</x:f>
        <x:v>180</x:v>
      </x:c>
      <x:c r="N1345" s="19" t="n">
        <x:f>(E1345-F1345)*H1345</x:f>
        <x:v>84</x:v>
      </x:c>
      <x:c r="O1345" s="19" t="n">
        <x:f>F1345*J1345</x:f>
        <x:v>0</x:v>
      </x:c>
      <x:c r="P1345" s="19" t="n">
        <x:f>M1345-N1345-O1345</x:f>
        <x:v>96</x:v>
      </x:c>
    </x:row>
    <x:row r="1346">
      <x:c r="A1346" s="15" t="str">
        <x:v>SIM-1342</x:v>
      </x:c>
      <x:c r="B1346" s="15" t="str">
        <x:v>2026-06</x:v>
      </x:c>
      <x:c r="C1346" s="15" t="str">
        <x:v>Calzado</x:v>
      </x:c>
      <x:c r="D1346" s="15" t="str">
        <x:v>Online</x:v>
      </x:c>
      <x:c r="E1346" s="15" t="n">
        <x:v>1</x:v>
      </x:c>
      <x:c r="F1346" s="15" t="n">
        <x:v>0</x:v>
      </x:c>
      <x:c r="G1346" s="19" t="n">
        <x:v>90</x:v>
      </x:c>
      <x:c r="H1346" s="19" t="n">
        <x:v>42</x:v>
      </x:c>
      <x:c r="I1346" s="17" t="n">
        <x:v>0.1</x:v>
      </x:c>
      <x:c r="J1346" s="19" t="n">
        <x:v>6</x:v>
      </x:c>
      <x:c r="K1346" s="19" t="n">
        <x:f>E1346*G1346</x:f>
        <x:v>90</x:v>
      </x:c>
      <x:c r="L1346" s="19" t="n">
        <x:f>K1346*I1346</x:f>
        <x:v>9</x:v>
      </x:c>
      <x:c r="M1346" s="19" t="n">
        <x:f>(E1346-F1346)*G1346*(1-I1346)</x:f>
        <x:v>81</x:v>
      </x:c>
      <x:c r="N1346" s="19" t="n">
        <x:f>(E1346-F1346)*H1346</x:f>
        <x:v>42</x:v>
      </x:c>
      <x:c r="O1346" s="19" t="n">
        <x:f>F1346*J1346</x:f>
        <x:v>0</x:v>
      </x:c>
      <x:c r="P1346" s="19" t="n">
        <x:f>M1346-N1346-O1346</x:f>
        <x:v>39</x:v>
      </x:c>
    </x:row>
    <x:row r="1347">
      <x:c r="A1347" s="15" t="str">
        <x:v>SIM-1343</x:v>
      </x:c>
      <x:c r="B1347" s="15" t="str">
        <x:v>2026-06</x:v>
      </x:c>
      <x:c r="C1347" s="15" t="str">
        <x:v>Calzado</x:v>
      </x:c>
      <x:c r="D1347" s="15" t="str">
        <x:v>Online</x:v>
      </x:c>
      <x:c r="E1347" s="15" t="n">
        <x:v>1</x:v>
      </x:c>
      <x:c r="F1347" s="15" t="n">
        <x:v>0</x:v>
      </x:c>
      <x:c r="G1347" s="19" t="n">
        <x:v>90</x:v>
      </x:c>
      <x:c r="H1347" s="19" t="n">
        <x:v>42</x:v>
      </x:c>
      <x:c r="I1347" s="17" t="n">
        <x:v>0.3</x:v>
      </x:c>
      <x:c r="J1347" s="19" t="n">
        <x:v>6</x:v>
      </x:c>
      <x:c r="K1347" s="19" t="n">
        <x:f>E1347*G1347</x:f>
        <x:v>90</x:v>
      </x:c>
      <x:c r="L1347" s="19" t="n">
        <x:f>K1347*I1347</x:f>
        <x:v>27</x:v>
      </x:c>
      <x:c r="M1347" s="19" t="n">
        <x:f>(E1347-F1347)*G1347*(1-I1347)</x:f>
        <x:v>62.99999999999999</x:v>
      </x:c>
      <x:c r="N1347" s="19" t="n">
        <x:f>(E1347-F1347)*H1347</x:f>
        <x:v>42</x:v>
      </x:c>
      <x:c r="O1347" s="19" t="n">
        <x:f>F1347*J1347</x:f>
        <x:v>0</x:v>
      </x:c>
      <x:c r="P1347" s="19" t="n">
        <x:f>M1347-N1347-O1347</x:f>
        <x:v>20.999999999999993</x:v>
      </x:c>
    </x:row>
    <x:row r="1348">
      <x:c r="A1348" s="15" t="str">
        <x:v>SIM-1344</x:v>
      </x:c>
      <x:c r="B1348" s="15" t="str">
        <x:v>2026-06</x:v>
      </x:c>
      <x:c r="C1348" s="15" t="str">
        <x:v>Calzado</x:v>
      </x:c>
      <x:c r="D1348" s="15" t="str">
        <x:v>Online</x:v>
      </x:c>
      <x:c r="E1348" s="15" t="n">
        <x:v>1</x:v>
      </x:c>
      <x:c r="F1348" s="15" t="n">
        <x:v>0</x:v>
      </x:c>
      <x:c r="G1348" s="19" t="n">
        <x:v>90</x:v>
      </x:c>
      <x:c r="H1348" s="19" t="n">
        <x:v>42</x:v>
      </x:c>
      <x:c r="I1348" s="17" t="n">
        <x:v>0.1</x:v>
      </x:c>
      <x:c r="J1348" s="19" t="n">
        <x:v>6</x:v>
      </x:c>
      <x:c r="K1348" s="19" t="n">
        <x:f>E1348*G1348</x:f>
        <x:v>90</x:v>
      </x:c>
      <x:c r="L1348" s="19" t="n">
        <x:f>K1348*I1348</x:f>
        <x:v>9</x:v>
      </x:c>
      <x:c r="M1348" s="19" t="n">
        <x:f>(E1348-F1348)*G1348*(1-I1348)</x:f>
        <x:v>81</x:v>
      </x:c>
      <x:c r="N1348" s="19" t="n">
        <x:f>(E1348-F1348)*H1348</x:f>
        <x:v>42</x:v>
      </x:c>
      <x:c r="O1348" s="19" t="n">
        <x:f>F1348*J1348</x:f>
        <x:v>0</x:v>
      </x:c>
      <x:c r="P1348" s="19" t="n">
        <x:f>M1348-N1348-O1348</x:f>
        <x:v>39</x:v>
      </x:c>
    </x:row>
    <x:row r="1349">
      <x:c r="A1349" s="15" t="str">
        <x:v>SIM-1345</x:v>
      </x:c>
      <x:c r="B1349" s="15" t="str">
        <x:v>2026-06</x:v>
      </x:c>
      <x:c r="C1349" s="15" t="str">
        <x:v>Accesorios</x:v>
      </x:c>
      <x:c r="D1349" s="15" t="str">
        <x:v>Online</x:v>
      </x:c>
      <x:c r="E1349" s="15" t="n">
        <x:v>1</x:v>
      </x:c>
      <x:c r="F1349" s="15" t="n">
        <x:v>0</x:v>
      </x:c>
      <x:c r="G1349" s="19" t="n">
        <x:v>30</x:v>
      </x:c>
      <x:c r="H1349" s="19" t="n">
        <x:v>9</x:v>
      </x:c>
      <x:c r="I1349" s="17" t="n">
        <x:v>0.2</x:v>
      </x:c>
      <x:c r="J1349" s="19" t="n">
        <x:v>6</x:v>
      </x:c>
      <x:c r="K1349" s="19" t="n">
        <x:f>E1349*G1349</x:f>
        <x:v>30</x:v>
      </x:c>
      <x:c r="L1349" s="19" t="n">
        <x:f>K1349*I1349</x:f>
        <x:v>6</x:v>
      </x:c>
      <x:c r="M1349" s="19" t="n">
        <x:f>(E1349-F1349)*G1349*(1-I1349)</x:f>
        <x:v>24</x:v>
      </x:c>
      <x:c r="N1349" s="19" t="n">
        <x:f>(E1349-F1349)*H1349</x:f>
        <x:v>9</x:v>
      </x:c>
      <x:c r="O1349" s="19" t="n">
        <x:f>F1349*J1349</x:f>
        <x:v>0</x:v>
      </x:c>
      <x:c r="P1349" s="19" t="n">
        <x:f>M1349-N1349-O1349</x:f>
        <x:v>15</x:v>
      </x:c>
    </x:row>
    <x:row r="1350">
      <x:c r="A1350" s="15" t="str">
        <x:v>SIM-1346</x:v>
      </x:c>
      <x:c r="B1350" s="15" t="str">
        <x:v>2026-06</x:v>
      </x:c>
      <x:c r="C1350" s="15" t="str">
        <x:v>Calzado</x:v>
      </x:c>
      <x:c r="D1350" s="15" t="str">
        <x:v>Online</x:v>
      </x:c>
      <x:c r="E1350" s="15" t="n">
        <x:v>1</x:v>
      </x:c>
      <x:c r="F1350" s="15" t="n">
        <x:v>1</x:v>
      </x:c>
      <x:c r="G1350" s="19" t="n">
        <x:v>90</x:v>
      </x:c>
      <x:c r="H1350" s="19" t="n">
        <x:v>42</x:v>
      </x:c>
      <x:c r="I1350" s="17" t="n">
        <x:v>0</x:v>
      </x:c>
      <x:c r="J1350" s="19" t="n">
        <x:v>6</x:v>
      </x:c>
      <x:c r="K1350" s="19" t="n">
        <x:f>E1350*G1350</x:f>
        <x:v>90</x:v>
      </x:c>
      <x:c r="L1350" s="19" t="n">
        <x:f>K1350*I1350</x:f>
        <x:v>0</x:v>
      </x:c>
      <x:c r="M1350" s="19" t="n">
        <x:f>(E1350-F1350)*G1350*(1-I1350)</x:f>
        <x:v>0</x:v>
      </x:c>
      <x:c r="N1350" s="19" t="n">
        <x:f>(E1350-F1350)*H1350</x:f>
        <x:v>0</x:v>
      </x:c>
      <x:c r="O1350" s="19" t="n">
        <x:f>F1350*J1350</x:f>
        <x:v>6</x:v>
      </x:c>
      <x:c r="P1350" s="19" t="n">
        <x:f>M1350-N1350-O1350</x:f>
        <x:v>-6</x:v>
      </x:c>
    </x:row>
    <x:row r="1351">
      <x:c r="A1351" s="15" t="str">
        <x:v>SIM-1347</x:v>
      </x:c>
      <x:c r="B1351" s="15" t="str">
        <x:v>2026-06</x:v>
      </x:c>
      <x:c r="C1351" s="15" t="str">
        <x:v>Calzado</x:v>
      </x:c>
      <x:c r="D1351" s="15" t="str">
        <x:v>Tienda</x:v>
      </x:c>
      <x:c r="E1351" s="15" t="n">
        <x:v>2</x:v>
      </x:c>
      <x:c r="F1351" s="15" t="n">
        <x:v>0</x:v>
      </x:c>
      <x:c r="G1351" s="19" t="n">
        <x:v>90</x:v>
      </x:c>
      <x:c r="H1351" s="19" t="n">
        <x:v>42</x:v>
      </x:c>
      <x:c r="I1351" s="17" t="n">
        <x:v>0.1</x:v>
      </x:c>
      <x:c r="J1351" s="19" t="n">
        <x:v>2</x:v>
      </x:c>
      <x:c r="K1351" s="19" t="n">
        <x:f>E1351*G1351</x:f>
        <x:v>180</x:v>
      </x:c>
      <x:c r="L1351" s="19" t="n">
        <x:f>K1351*I1351</x:f>
        <x:v>18</x:v>
      </x:c>
      <x:c r="M1351" s="19" t="n">
        <x:f>(E1351-F1351)*G1351*(1-I1351)</x:f>
        <x:v>162</x:v>
      </x:c>
      <x:c r="N1351" s="19" t="n">
        <x:f>(E1351-F1351)*H1351</x:f>
        <x:v>84</x:v>
      </x:c>
      <x:c r="O1351" s="19" t="n">
        <x:f>F1351*J1351</x:f>
        <x:v>0</x:v>
      </x:c>
      <x:c r="P1351" s="19" t="n">
        <x:f>M1351-N1351-O1351</x:f>
        <x:v>78</x:v>
      </x:c>
    </x:row>
    <x:row r="1352">
      <x:c r="A1352" s="15" t="str">
        <x:v>SIM-1348</x:v>
      </x:c>
      <x:c r="B1352" s="15" t="str">
        <x:v>2026-06</x:v>
      </x:c>
      <x:c r="C1352" s="15" t="str">
        <x:v>Calzado</x:v>
      </x:c>
      <x:c r="D1352" s="15" t="str">
        <x:v>Online</x:v>
      </x:c>
      <x:c r="E1352" s="15" t="n">
        <x:v>1</x:v>
      </x:c>
      <x:c r="F1352" s="15" t="n">
        <x:v>0</x:v>
      </x:c>
      <x:c r="G1352" s="19" t="n">
        <x:v>90</x:v>
      </x:c>
      <x:c r="H1352" s="19" t="n">
        <x:v>42</x:v>
      </x:c>
      <x:c r="I1352" s="17" t="n">
        <x:v>0.2</x:v>
      </x:c>
      <x:c r="J1352" s="19" t="n">
        <x:v>6</x:v>
      </x:c>
      <x:c r="K1352" s="19" t="n">
        <x:f>E1352*G1352</x:f>
        <x:v>90</x:v>
      </x:c>
      <x:c r="L1352" s="19" t="n">
        <x:f>K1352*I1352</x:f>
        <x:v>18</x:v>
      </x:c>
      <x:c r="M1352" s="19" t="n">
        <x:f>(E1352-F1352)*G1352*(1-I1352)</x:f>
        <x:v>72</x:v>
      </x:c>
      <x:c r="N1352" s="19" t="n">
        <x:f>(E1352-F1352)*H1352</x:f>
        <x:v>42</x:v>
      </x:c>
      <x:c r="O1352" s="19" t="n">
        <x:f>F1352*J1352</x:f>
        <x:v>0</x:v>
      </x:c>
      <x:c r="P1352" s="19" t="n">
        <x:f>M1352-N1352-O1352</x:f>
        <x:v>30</x:v>
      </x:c>
    </x:row>
    <x:row r="1353">
      <x:c r="A1353" s="15" t="str">
        <x:v>SIM-1349</x:v>
      </x:c>
      <x:c r="B1353" s="15" t="str">
        <x:v>2026-06</x:v>
      </x:c>
      <x:c r="C1353" s="15" t="str">
        <x:v>Prendas</x:v>
      </x:c>
      <x:c r="D1353" s="15" t="str">
        <x:v>Online</x:v>
      </x:c>
      <x:c r="E1353" s="15" t="n">
        <x:v>1</x:v>
      </x:c>
      <x:c r="F1353" s="15" t="n">
        <x:v>0</x:v>
      </x:c>
      <x:c r="G1353" s="19" t="n">
        <x:v>60</x:v>
      </x:c>
      <x:c r="H1353" s="19" t="n">
        <x:v>24</x:v>
      </x:c>
      <x:c r="I1353" s="17" t="n">
        <x:v>0.1</x:v>
      </x:c>
      <x:c r="J1353" s="19" t="n">
        <x:v>6</x:v>
      </x:c>
      <x:c r="K1353" s="19" t="n">
        <x:f>E1353*G1353</x:f>
        <x:v>60</x:v>
      </x:c>
      <x:c r="L1353" s="19" t="n">
        <x:f>K1353*I1353</x:f>
        <x:v>6</x:v>
      </x:c>
      <x:c r="M1353" s="19" t="n">
        <x:f>(E1353-F1353)*G1353*(1-I1353)</x:f>
        <x:v>54</x:v>
      </x:c>
      <x:c r="N1353" s="19" t="n">
        <x:f>(E1353-F1353)*H1353</x:f>
        <x:v>24</x:v>
      </x:c>
      <x:c r="O1353" s="19" t="n">
        <x:f>F1353*J1353</x:f>
        <x:v>0</x:v>
      </x:c>
      <x:c r="P1353" s="19" t="n">
        <x:f>M1353-N1353-O1353</x:f>
        <x:v>30</x:v>
      </x:c>
    </x:row>
    <x:row r="1354">
      <x:c r="A1354" s="15" t="str">
        <x:v>SIM-1350</x:v>
      </x:c>
      <x:c r="B1354" s="15" t="str">
        <x:v>2026-06</x:v>
      </x:c>
      <x:c r="C1354" s="15" t="str">
        <x:v>Accesorios</x:v>
      </x:c>
      <x:c r="D1354" s="15" t="str">
        <x:v>Online</x:v>
      </x:c>
      <x:c r="E1354" s="15" t="n">
        <x:v>1</x:v>
      </x:c>
      <x:c r="F1354" s="15" t="n">
        <x:v>0</x:v>
      </x:c>
      <x:c r="G1354" s="19" t="n">
        <x:v>30</x:v>
      </x:c>
      <x:c r="H1354" s="19" t="n">
        <x:v>9</x:v>
      </x:c>
      <x:c r="I1354" s="17" t="n">
        <x:v>0</x:v>
      </x:c>
      <x:c r="J1354" s="19" t="n">
        <x:v>6</x:v>
      </x:c>
      <x:c r="K1354" s="19" t="n">
        <x:f>E1354*G1354</x:f>
        <x:v>30</x:v>
      </x:c>
      <x:c r="L1354" s="19" t="n">
        <x:f>K1354*I1354</x:f>
        <x:v>0</x:v>
      </x:c>
      <x:c r="M1354" s="19" t="n">
        <x:f>(E1354-F1354)*G1354*(1-I1354)</x:f>
        <x:v>30</x:v>
      </x:c>
      <x:c r="N1354" s="19" t="n">
        <x:f>(E1354-F1354)*H1354</x:f>
        <x:v>9</x:v>
      </x:c>
      <x:c r="O1354" s="19" t="n">
        <x:f>F1354*J1354</x:f>
        <x:v>0</x:v>
      </x:c>
      <x:c r="P1354" s="19" t="n">
        <x:f>M1354-N1354-O1354</x:f>
        <x:v>21</x:v>
      </x:c>
    </x:row>
    <x:row r="1355">
      <x:c r="A1355" s="15" t="str">
        <x:v>SIM-1351</x:v>
      </x:c>
      <x:c r="B1355" s="15" t="str">
        <x:v>2026-06</x:v>
      </x:c>
      <x:c r="C1355" s="15" t="str">
        <x:v>Prendas</x:v>
      </x:c>
      <x:c r="D1355" s="15" t="str">
        <x:v>Tienda</x:v>
      </x:c>
      <x:c r="E1355" s="15" t="n">
        <x:v>1</x:v>
      </x:c>
      <x:c r="F1355" s="15" t="n">
        <x:v>0</x:v>
      </x:c>
      <x:c r="G1355" s="19" t="n">
        <x:v>60</x:v>
      </x:c>
      <x:c r="H1355" s="19" t="n">
        <x:v>24</x:v>
      </x:c>
      <x:c r="I1355" s="17" t="n">
        <x:v>0.3</x:v>
      </x:c>
      <x:c r="J1355" s="19" t="n">
        <x:v>2</x:v>
      </x:c>
      <x:c r="K1355" s="19" t="n">
        <x:f>E1355*G1355</x:f>
        <x:v>60</x:v>
      </x:c>
      <x:c r="L1355" s="19" t="n">
        <x:f>K1355*I1355</x:f>
        <x:v>18</x:v>
      </x:c>
      <x:c r="M1355" s="19" t="n">
        <x:f>(E1355-F1355)*G1355*(1-I1355)</x:f>
        <x:v>42</x:v>
      </x:c>
      <x:c r="N1355" s="19" t="n">
        <x:f>(E1355-F1355)*H1355</x:f>
        <x:v>24</x:v>
      </x:c>
      <x:c r="O1355" s="19" t="n">
        <x:f>F1355*J1355</x:f>
        <x:v>0</x:v>
      </x:c>
      <x:c r="P1355" s="19" t="n">
        <x:f>M1355-N1355-O1355</x:f>
        <x:v>18</x:v>
      </x:c>
    </x:row>
    <x:row r="1356">
      <x:c r="A1356" s="15" t="str">
        <x:v>SIM-1352</x:v>
      </x:c>
      <x:c r="B1356" s="15" t="str">
        <x:v>2026-06</x:v>
      </x:c>
      <x:c r="C1356" s="15" t="str">
        <x:v>Calzado</x:v>
      </x:c>
      <x:c r="D1356" s="15" t="str">
        <x:v>Tienda</x:v>
      </x:c>
      <x:c r="E1356" s="15" t="n">
        <x:v>3</x:v>
      </x:c>
      <x:c r="F1356" s="15" t="n">
        <x:v>0</x:v>
      </x:c>
      <x:c r="G1356" s="19" t="n">
        <x:v>90</x:v>
      </x:c>
      <x:c r="H1356" s="19" t="n">
        <x:v>42</x:v>
      </x:c>
      <x:c r="I1356" s="17" t="n">
        <x:v>0.2</x:v>
      </x:c>
      <x:c r="J1356" s="19" t="n">
        <x:v>2</x:v>
      </x:c>
      <x:c r="K1356" s="19" t="n">
        <x:f>E1356*G1356</x:f>
        <x:v>270</x:v>
      </x:c>
      <x:c r="L1356" s="19" t="n">
        <x:f>K1356*I1356</x:f>
        <x:v>54</x:v>
      </x:c>
      <x:c r="M1356" s="19" t="n">
        <x:f>(E1356-F1356)*G1356*(1-I1356)</x:f>
        <x:v>216</x:v>
      </x:c>
      <x:c r="N1356" s="19" t="n">
        <x:f>(E1356-F1356)*H1356</x:f>
        <x:v>126</x:v>
      </x:c>
      <x:c r="O1356" s="19" t="n">
        <x:f>F1356*J1356</x:f>
        <x:v>0</x:v>
      </x:c>
      <x:c r="P1356" s="19" t="n">
        <x:f>M1356-N1356-O1356</x:f>
        <x:v>90</x:v>
      </x:c>
    </x:row>
    <x:row r="1357">
      <x:c r="A1357" s="15" t="str">
        <x:v>SIM-1353</x:v>
      </x:c>
      <x:c r="B1357" s="15" t="str">
        <x:v>2026-06</x:v>
      </x:c>
      <x:c r="C1357" s="15" t="str">
        <x:v>Calzado</x:v>
      </x:c>
      <x:c r="D1357" s="15" t="str">
        <x:v>Online</x:v>
      </x:c>
      <x:c r="E1357" s="15" t="n">
        <x:v>1</x:v>
      </x:c>
      <x:c r="F1357" s="15" t="n">
        <x:v>1</x:v>
      </x:c>
      <x:c r="G1357" s="19" t="n">
        <x:v>90</x:v>
      </x:c>
      <x:c r="H1357" s="19" t="n">
        <x:v>42</x:v>
      </x:c>
      <x:c r="I1357" s="17" t="n">
        <x:v>0.1</x:v>
      </x:c>
      <x:c r="J1357" s="19" t="n">
        <x:v>6</x:v>
      </x:c>
      <x:c r="K1357" s="19" t="n">
        <x:f>E1357*G1357</x:f>
        <x:v>90</x:v>
      </x:c>
      <x:c r="L1357" s="19" t="n">
        <x:f>K1357*I1357</x:f>
        <x:v>9</x:v>
      </x:c>
      <x:c r="M1357" s="19" t="n">
        <x:f>(E1357-F1357)*G1357*(1-I1357)</x:f>
        <x:v>0</x:v>
      </x:c>
      <x:c r="N1357" s="19" t="n">
        <x:f>(E1357-F1357)*H1357</x:f>
        <x:v>0</x:v>
      </x:c>
      <x:c r="O1357" s="19" t="n">
        <x:f>F1357*J1357</x:f>
        <x:v>6</x:v>
      </x:c>
      <x:c r="P1357" s="19" t="n">
        <x:f>M1357-N1357-O1357</x:f>
        <x:v>-6</x:v>
      </x:c>
    </x:row>
    <x:row r="1358">
      <x:c r="A1358" s="15" t="str">
        <x:v>SIM-1354</x:v>
      </x:c>
      <x:c r="B1358" s="15" t="str">
        <x:v>2026-06</x:v>
      </x:c>
      <x:c r="C1358" s="15" t="str">
        <x:v>Prendas</x:v>
      </x:c>
      <x:c r="D1358" s="15" t="str">
        <x:v>Online</x:v>
      </x:c>
      <x:c r="E1358" s="15" t="n">
        <x:v>2</x:v>
      </x:c>
      <x:c r="F1358" s="15" t="n">
        <x:v>0</x:v>
      </x:c>
      <x:c r="G1358" s="19" t="n">
        <x:v>60</x:v>
      </x:c>
      <x:c r="H1358" s="19" t="n">
        <x:v>24</x:v>
      </x:c>
      <x:c r="I1358" s="17" t="n">
        <x:v>0.3</x:v>
      </x:c>
      <x:c r="J1358" s="19" t="n">
        <x:v>6</x:v>
      </x:c>
      <x:c r="K1358" s="19" t="n">
        <x:f>E1358*G1358</x:f>
        <x:v>120</x:v>
      </x:c>
      <x:c r="L1358" s="19" t="n">
        <x:f>K1358*I1358</x:f>
        <x:v>36</x:v>
      </x:c>
      <x:c r="M1358" s="19" t="n">
        <x:f>(E1358-F1358)*G1358*(1-I1358)</x:f>
        <x:v>84</x:v>
      </x:c>
      <x:c r="N1358" s="19" t="n">
        <x:f>(E1358-F1358)*H1358</x:f>
        <x:v>48</x:v>
      </x:c>
      <x:c r="O1358" s="19" t="n">
        <x:f>F1358*J1358</x:f>
        <x:v>0</x:v>
      </x:c>
      <x:c r="P1358" s="19" t="n">
        <x:f>M1358-N1358-O1358</x:f>
        <x:v>36</x:v>
      </x:c>
    </x:row>
    <x:row r="1359">
      <x:c r="A1359" s="15" t="str">
        <x:v>SIM-1355</x:v>
      </x:c>
      <x:c r="B1359" s="15" t="str">
        <x:v>2026-06</x:v>
      </x:c>
      <x:c r="C1359" s="15" t="str">
        <x:v>Prendas</x:v>
      </x:c>
      <x:c r="D1359" s="15" t="str">
        <x:v>Tienda</x:v>
      </x:c>
      <x:c r="E1359" s="15" t="n">
        <x:v>3</x:v>
      </x:c>
      <x:c r="F1359" s="15" t="n">
        <x:v>0</x:v>
      </x:c>
      <x:c r="G1359" s="19" t="n">
        <x:v>60</x:v>
      </x:c>
      <x:c r="H1359" s="19" t="n">
        <x:v>24</x:v>
      </x:c>
      <x:c r="I1359" s="17" t="n">
        <x:v>0.3</x:v>
      </x:c>
      <x:c r="J1359" s="19" t="n">
        <x:v>2</x:v>
      </x:c>
      <x:c r="K1359" s="19" t="n">
        <x:f>E1359*G1359</x:f>
        <x:v>180</x:v>
      </x:c>
      <x:c r="L1359" s="19" t="n">
        <x:f>K1359*I1359</x:f>
        <x:v>54</x:v>
      </x:c>
      <x:c r="M1359" s="19" t="n">
        <x:f>(E1359-F1359)*G1359*(1-I1359)</x:f>
        <x:v>125.99999999999999</x:v>
      </x:c>
      <x:c r="N1359" s="19" t="n">
        <x:f>(E1359-F1359)*H1359</x:f>
        <x:v>72</x:v>
      </x:c>
      <x:c r="O1359" s="19" t="n">
        <x:f>F1359*J1359</x:f>
        <x:v>0</x:v>
      </x:c>
      <x:c r="P1359" s="19" t="n">
        <x:f>M1359-N1359-O1359</x:f>
        <x:v>53.999999999999986</x:v>
      </x:c>
    </x:row>
    <x:row r="1360">
      <x:c r="A1360" s="15" t="str">
        <x:v>SIM-1356</x:v>
      </x:c>
      <x:c r="B1360" s="15" t="str">
        <x:v>2026-06</x:v>
      </x:c>
      <x:c r="C1360" s="15" t="str">
        <x:v>Prendas</x:v>
      </x:c>
      <x:c r="D1360" s="15" t="str">
        <x:v>Tienda</x:v>
      </x:c>
      <x:c r="E1360" s="15" t="n">
        <x:v>1</x:v>
      </x:c>
      <x:c r="F1360" s="15" t="n">
        <x:v>0</x:v>
      </x:c>
      <x:c r="G1360" s="19" t="n">
        <x:v>60</x:v>
      </x:c>
      <x:c r="H1360" s="19" t="n">
        <x:v>24</x:v>
      </x:c>
      <x:c r="I1360" s="17" t="n">
        <x:v>0.1</x:v>
      </x:c>
      <x:c r="J1360" s="19" t="n">
        <x:v>2</x:v>
      </x:c>
      <x:c r="K1360" s="19" t="n">
        <x:f>E1360*G1360</x:f>
        <x:v>60</x:v>
      </x:c>
      <x:c r="L1360" s="19" t="n">
        <x:f>K1360*I1360</x:f>
        <x:v>6</x:v>
      </x:c>
      <x:c r="M1360" s="19" t="n">
        <x:f>(E1360-F1360)*G1360*(1-I1360)</x:f>
        <x:v>54</x:v>
      </x:c>
      <x:c r="N1360" s="19" t="n">
        <x:f>(E1360-F1360)*H1360</x:f>
        <x:v>24</x:v>
      </x:c>
      <x:c r="O1360" s="19" t="n">
        <x:f>F1360*J1360</x:f>
        <x:v>0</x:v>
      </x:c>
      <x:c r="P1360" s="19" t="n">
        <x:f>M1360-N1360-O1360</x:f>
        <x:v>30</x:v>
      </x:c>
    </x:row>
    <x:row r="1361">
      <x:c r="A1361" s="15" t="str">
        <x:v>SIM-1357</x:v>
      </x:c>
      <x:c r="B1361" s="15" t="str">
        <x:v>2026-06</x:v>
      </x:c>
      <x:c r="C1361" s="15" t="str">
        <x:v>Calzado</x:v>
      </x:c>
      <x:c r="D1361" s="15" t="str">
        <x:v>Online</x:v>
      </x:c>
      <x:c r="E1361" s="15" t="n">
        <x:v>1</x:v>
      </x:c>
      <x:c r="F1361" s="15" t="n">
        <x:v>0</x:v>
      </x:c>
      <x:c r="G1361" s="19" t="n">
        <x:v>90</x:v>
      </x:c>
      <x:c r="H1361" s="19" t="n">
        <x:v>42</x:v>
      </x:c>
      <x:c r="I1361" s="17" t="n">
        <x:v>0.1</x:v>
      </x:c>
      <x:c r="J1361" s="19" t="n">
        <x:v>6</x:v>
      </x:c>
      <x:c r="K1361" s="19" t="n">
        <x:f>E1361*G1361</x:f>
        <x:v>90</x:v>
      </x:c>
      <x:c r="L1361" s="19" t="n">
        <x:f>K1361*I1361</x:f>
        <x:v>9</x:v>
      </x:c>
      <x:c r="M1361" s="19" t="n">
        <x:f>(E1361-F1361)*G1361*(1-I1361)</x:f>
        <x:v>81</x:v>
      </x:c>
      <x:c r="N1361" s="19" t="n">
        <x:f>(E1361-F1361)*H1361</x:f>
        <x:v>42</x:v>
      </x:c>
      <x:c r="O1361" s="19" t="n">
        <x:f>F1361*J1361</x:f>
        <x:v>0</x:v>
      </x:c>
      <x:c r="P1361" s="19" t="n">
        <x:f>M1361-N1361-O1361</x:f>
        <x:v>39</x:v>
      </x:c>
    </x:row>
    <x:row r="1362">
      <x:c r="A1362" s="15" t="str">
        <x:v>SIM-1358</x:v>
      </x:c>
      <x:c r="B1362" s="15" t="str">
        <x:v>2026-06</x:v>
      </x:c>
      <x:c r="C1362" s="15" t="str">
        <x:v>Prendas</x:v>
      </x:c>
      <x:c r="D1362" s="15" t="str">
        <x:v>Tienda</x:v>
      </x:c>
      <x:c r="E1362" s="15" t="n">
        <x:v>1</x:v>
      </x:c>
      <x:c r="F1362" s="15" t="n">
        <x:v>0</x:v>
      </x:c>
      <x:c r="G1362" s="19" t="n">
        <x:v>60</x:v>
      </x:c>
      <x:c r="H1362" s="19" t="n">
        <x:v>24</x:v>
      </x:c>
      <x:c r="I1362" s="17" t="n">
        <x:v>0.3</x:v>
      </x:c>
      <x:c r="J1362" s="19" t="n">
        <x:v>2</x:v>
      </x:c>
      <x:c r="K1362" s="19" t="n">
        <x:f>E1362*G1362</x:f>
        <x:v>60</x:v>
      </x:c>
      <x:c r="L1362" s="19" t="n">
        <x:f>K1362*I1362</x:f>
        <x:v>18</x:v>
      </x:c>
      <x:c r="M1362" s="19" t="n">
        <x:f>(E1362-F1362)*G1362*(1-I1362)</x:f>
        <x:v>42</x:v>
      </x:c>
      <x:c r="N1362" s="19" t="n">
        <x:f>(E1362-F1362)*H1362</x:f>
        <x:v>24</x:v>
      </x:c>
      <x:c r="O1362" s="19" t="n">
        <x:f>F1362*J1362</x:f>
        <x:v>0</x:v>
      </x:c>
      <x:c r="P1362" s="19" t="n">
        <x:f>M1362-N1362-O1362</x:f>
        <x:v>18</x:v>
      </x:c>
    </x:row>
    <x:row r="1363">
      <x:c r="A1363" s="15" t="str">
        <x:v>SIM-1359</x:v>
      </x:c>
      <x:c r="B1363" s="15" t="str">
        <x:v>2026-06</x:v>
      </x:c>
      <x:c r="C1363" s="15" t="str">
        <x:v>Calzado</x:v>
      </x:c>
      <x:c r="D1363" s="15" t="str">
        <x:v>Online</x:v>
      </x:c>
      <x:c r="E1363" s="15" t="n">
        <x:v>1</x:v>
      </x:c>
      <x:c r="F1363" s="15" t="n">
        <x:v>0</x:v>
      </x:c>
      <x:c r="G1363" s="19" t="n">
        <x:v>90</x:v>
      </x:c>
      <x:c r="H1363" s="19" t="n">
        <x:v>42</x:v>
      </x:c>
      <x:c r="I1363" s="17" t="n">
        <x:v>0.3</x:v>
      </x:c>
      <x:c r="J1363" s="19" t="n">
        <x:v>6</x:v>
      </x:c>
      <x:c r="K1363" s="19" t="n">
        <x:f>E1363*G1363</x:f>
        <x:v>90</x:v>
      </x:c>
      <x:c r="L1363" s="19" t="n">
        <x:f>K1363*I1363</x:f>
        <x:v>27</x:v>
      </x:c>
      <x:c r="M1363" s="19" t="n">
        <x:f>(E1363-F1363)*G1363*(1-I1363)</x:f>
        <x:v>62.99999999999999</x:v>
      </x:c>
      <x:c r="N1363" s="19" t="n">
        <x:f>(E1363-F1363)*H1363</x:f>
        <x:v>42</x:v>
      </x:c>
      <x:c r="O1363" s="19" t="n">
        <x:f>F1363*J1363</x:f>
        <x:v>0</x:v>
      </x:c>
      <x:c r="P1363" s="19" t="n">
        <x:f>M1363-N1363-O1363</x:f>
        <x:v>20.999999999999993</x:v>
      </x:c>
    </x:row>
    <x:row r="1364">
      <x:c r="A1364" s="15" t="str">
        <x:v>SIM-1360</x:v>
      </x:c>
      <x:c r="B1364" s="15" t="str">
        <x:v>2026-06</x:v>
      </x:c>
      <x:c r="C1364" s="15" t="str">
        <x:v>Accesorios</x:v>
      </x:c>
      <x:c r="D1364" s="15" t="str">
        <x:v>Tienda</x:v>
      </x:c>
      <x:c r="E1364" s="15" t="n">
        <x:v>1</x:v>
      </x:c>
      <x:c r="F1364" s="15" t="n">
        <x:v>0</x:v>
      </x:c>
      <x:c r="G1364" s="19" t="n">
        <x:v>30</x:v>
      </x:c>
      <x:c r="H1364" s="19" t="n">
        <x:v>9</x:v>
      </x:c>
      <x:c r="I1364" s="17" t="n">
        <x:v>0.2</x:v>
      </x:c>
      <x:c r="J1364" s="19" t="n">
        <x:v>2</x:v>
      </x:c>
      <x:c r="K1364" s="19" t="n">
        <x:f>E1364*G1364</x:f>
        <x:v>30</x:v>
      </x:c>
      <x:c r="L1364" s="19" t="n">
        <x:f>K1364*I1364</x:f>
        <x:v>6</x:v>
      </x:c>
      <x:c r="M1364" s="19" t="n">
        <x:f>(E1364-F1364)*G1364*(1-I1364)</x:f>
        <x:v>24</x:v>
      </x:c>
      <x:c r="N1364" s="19" t="n">
        <x:f>(E1364-F1364)*H1364</x:f>
        <x:v>9</x:v>
      </x:c>
      <x:c r="O1364" s="19" t="n">
        <x:f>F1364*J1364</x:f>
        <x:v>0</x:v>
      </x:c>
      <x:c r="P1364" s="19" t="n">
        <x:f>M1364-N1364-O1364</x:f>
        <x:v>15</x:v>
      </x:c>
    </x:row>
    <x:row r="1365">
      <x:c r="A1365" s="15" t="str">
        <x:v>SIM-1361</x:v>
      </x:c>
      <x:c r="B1365" s="15" t="str">
        <x:v>2026-06</x:v>
      </x:c>
      <x:c r="C1365" s="15" t="str">
        <x:v>Accesorios</x:v>
      </x:c>
      <x:c r="D1365" s="15" t="str">
        <x:v>Online</x:v>
      </x:c>
      <x:c r="E1365" s="15" t="n">
        <x:v>2</x:v>
      </x:c>
      <x:c r="F1365" s="15" t="n">
        <x:v>0</x:v>
      </x:c>
      <x:c r="G1365" s="19" t="n">
        <x:v>30</x:v>
      </x:c>
      <x:c r="H1365" s="19" t="n">
        <x:v>9</x:v>
      </x:c>
      <x:c r="I1365" s="17" t="n">
        <x:v>0.2</x:v>
      </x:c>
      <x:c r="J1365" s="19" t="n">
        <x:v>6</x:v>
      </x:c>
      <x:c r="K1365" s="19" t="n">
        <x:f>E1365*G1365</x:f>
        <x:v>60</x:v>
      </x:c>
      <x:c r="L1365" s="19" t="n">
        <x:f>K1365*I1365</x:f>
        <x:v>12</x:v>
      </x:c>
      <x:c r="M1365" s="19" t="n">
        <x:f>(E1365-F1365)*G1365*(1-I1365)</x:f>
        <x:v>48</x:v>
      </x:c>
      <x:c r="N1365" s="19" t="n">
        <x:f>(E1365-F1365)*H1365</x:f>
        <x:v>18</x:v>
      </x:c>
      <x:c r="O1365" s="19" t="n">
        <x:f>F1365*J1365</x:f>
        <x:v>0</x:v>
      </x:c>
      <x:c r="P1365" s="19" t="n">
        <x:f>M1365-N1365-O1365</x:f>
        <x:v>30</x:v>
      </x:c>
    </x:row>
    <x:row r="1366">
      <x:c r="A1366" s="15" t="str">
        <x:v>SIM-1362</x:v>
      </x:c>
      <x:c r="B1366" s="15" t="str">
        <x:v>2026-06</x:v>
      </x:c>
      <x:c r="C1366" s="15" t="str">
        <x:v>Prendas</x:v>
      </x:c>
      <x:c r="D1366" s="15" t="str">
        <x:v>Tienda</x:v>
      </x:c>
      <x:c r="E1366" s="15" t="n">
        <x:v>1</x:v>
      </x:c>
      <x:c r="F1366" s="15" t="n">
        <x:v>0</x:v>
      </x:c>
      <x:c r="G1366" s="19" t="n">
        <x:v>60</x:v>
      </x:c>
      <x:c r="H1366" s="19" t="n">
        <x:v>24</x:v>
      </x:c>
      <x:c r="I1366" s="17" t="n">
        <x:v>0.1</x:v>
      </x:c>
      <x:c r="J1366" s="19" t="n">
        <x:v>2</x:v>
      </x:c>
      <x:c r="K1366" s="19" t="n">
        <x:f>E1366*G1366</x:f>
        <x:v>60</x:v>
      </x:c>
      <x:c r="L1366" s="19" t="n">
        <x:f>K1366*I1366</x:f>
        <x:v>6</x:v>
      </x:c>
      <x:c r="M1366" s="19" t="n">
        <x:f>(E1366-F1366)*G1366*(1-I1366)</x:f>
        <x:v>54</x:v>
      </x:c>
      <x:c r="N1366" s="19" t="n">
        <x:f>(E1366-F1366)*H1366</x:f>
        <x:v>24</x:v>
      </x:c>
      <x:c r="O1366" s="19" t="n">
        <x:f>F1366*J1366</x:f>
        <x:v>0</x:v>
      </x:c>
      <x:c r="P1366" s="19" t="n">
        <x:f>M1366-N1366-O1366</x:f>
        <x:v>30</x:v>
      </x:c>
    </x:row>
    <x:row r="1367">
      <x:c r="A1367" s="15" t="str">
        <x:v>SIM-1363</x:v>
      </x:c>
      <x:c r="B1367" s="15" t="str">
        <x:v>2026-06</x:v>
      </x:c>
      <x:c r="C1367" s="15" t="str">
        <x:v>Prendas</x:v>
      </x:c>
      <x:c r="D1367" s="15" t="str">
        <x:v>Tienda</x:v>
      </x:c>
      <x:c r="E1367" s="15" t="n">
        <x:v>1</x:v>
      </x:c>
      <x:c r="F1367" s="15" t="n">
        <x:v>0</x:v>
      </x:c>
      <x:c r="G1367" s="19" t="n">
        <x:v>60</x:v>
      </x:c>
      <x:c r="H1367" s="19" t="n">
        <x:v>24</x:v>
      </x:c>
      <x:c r="I1367" s="17" t="n">
        <x:v>0.1</x:v>
      </x:c>
      <x:c r="J1367" s="19" t="n">
        <x:v>2</x:v>
      </x:c>
      <x:c r="K1367" s="19" t="n">
        <x:f>E1367*G1367</x:f>
        <x:v>60</x:v>
      </x:c>
      <x:c r="L1367" s="19" t="n">
        <x:f>K1367*I1367</x:f>
        <x:v>6</x:v>
      </x:c>
      <x:c r="M1367" s="19" t="n">
        <x:f>(E1367-F1367)*G1367*(1-I1367)</x:f>
        <x:v>54</x:v>
      </x:c>
      <x:c r="N1367" s="19" t="n">
        <x:f>(E1367-F1367)*H1367</x:f>
        <x:v>24</x:v>
      </x:c>
      <x:c r="O1367" s="19" t="n">
        <x:f>F1367*J1367</x:f>
        <x:v>0</x:v>
      </x:c>
      <x:c r="P1367" s="19" t="n">
        <x:f>M1367-N1367-O1367</x:f>
        <x:v>30</x:v>
      </x:c>
    </x:row>
    <x:row r="1368">
      <x:c r="A1368" s="15" t="str">
        <x:v>SIM-1364</x:v>
      </x:c>
      <x:c r="B1368" s="15" t="str">
        <x:v>2026-06</x:v>
      </x:c>
      <x:c r="C1368" s="15" t="str">
        <x:v>Accesorios</x:v>
      </x:c>
      <x:c r="D1368" s="15" t="str">
        <x:v>Online</x:v>
      </x:c>
      <x:c r="E1368" s="15" t="n">
        <x:v>3</x:v>
      </x:c>
      <x:c r="F1368" s="15" t="n">
        <x:v>0</x:v>
      </x:c>
      <x:c r="G1368" s="19" t="n">
        <x:v>30</x:v>
      </x:c>
      <x:c r="H1368" s="19" t="n">
        <x:v>9</x:v>
      </x:c>
      <x:c r="I1368" s="17" t="n">
        <x:v>0</x:v>
      </x:c>
      <x:c r="J1368" s="19" t="n">
        <x:v>6</x:v>
      </x:c>
      <x:c r="K1368" s="19" t="n">
        <x:f>E1368*G1368</x:f>
        <x:v>90</x:v>
      </x:c>
      <x:c r="L1368" s="19" t="n">
        <x:f>K1368*I1368</x:f>
        <x:v>0</x:v>
      </x:c>
      <x:c r="M1368" s="19" t="n">
        <x:f>(E1368-F1368)*G1368*(1-I1368)</x:f>
        <x:v>90</x:v>
      </x:c>
      <x:c r="N1368" s="19" t="n">
        <x:f>(E1368-F1368)*H1368</x:f>
        <x:v>27</x:v>
      </x:c>
      <x:c r="O1368" s="19" t="n">
        <x:f>F1368*J1368</x:f>
        <x:v>0</x:v>
      </x:c>
      <x:c r="P1368" s="19" t="n">
        <x:f>M1368-N1368-O1368</x:f>
        <x:v>63</x:v>
      </x:c>
    </x:row>
    <x:row r="1369">
      <x:c r="A1369" s="15" t="str">
        <x:v>SIM-1365</x:v>
      </x:c>
      <x:c r="B1369" s="15" t="str">
        <x:v>2026-06</x:v>
      </x:c>
      <x:c r="C1369" s="15" t="str">
        <x:v>Accesorios</x:v>
      </x:c>
      <x:c r="D1369" s="15" t="str">
        <x:v>Online</x:v>
      </x:c>
      <x:c r="E1369" s="15" t="n">
        <x:v>1</x:v>
      </x:c>
      <x:c r="F1369" s="15" t="n">
        <x:v>0</x:v>
      </x:c>
      <x:c r="G1369" s="19" t="n">
        <x:v>30</x:v>
      </x:c>
      <x:c r="H1369" s="19" t="n">
        <x:v>9</x:v>
      </x:c>
      <x:c r="I1369" s="17" t="n">
        <x:v>0</x:v>
      </x:c>
      <x:c r="J1369" s="19" t="n">
        <x:v>6</x:v>
      </x:c>
      <x:c r="K1369" s="19" t="n">
        <x:f>E1369*G1369</x:f>
        <x:v>30</x:v>
      </x:c>
      <x:c r="L1369" s="19" t="n">
        <x:f>K1369*I1369</x:f>
        <x:v>0</x:v>
      </x:c>
      <x:c r="M1369" s="19" t="n">
        <x:f>(E1369-F1369)*G1369*(1-I1369)</x:f>
        <x:v>30</x:v>
      </x:c>
      <x:c r="N1369" s="19" t="n">
        <x:f>(E1369-F1369)*H1369</x:f>
        <x:v>9</x:v>
      </x:c>
      <x:c r="O1369" s="19" t="n">
        <x:f>F1369*J1369</x:f>
        <x:v>0</x:v>
      </x:c>
      <x:c r="P1369" s="19" t="n">
        <x:f>M1369-N1369-O1369</x:f>
        <x:v>21</x:v>
      </x:c>
    </x:row>
    <x:row r="1370">
      <x:c r="A1370" s="15" t="str">
        <x:v>SIM-1366</x:v>
      </x:c>
      <x:c r="B1370" s="15" t="str">
        <x:v>2026-06</x:v>
      </x:c>
      <x:c r="C1370" s="15" t="str">
        <x:v>Calzado</x:v>
      </x:c>
      <x:c r="D1370" s="15" t="str">
        <x:v>Online</x:v>
      </x:c>
      <x:c r="E1370" s="15" t="n">
        <x:v>1</x:v>
      </x:c>
      <x:c r="F1370" s="15" t="n">
        <x:v>0</x:v>
      </x:c>
      <x:c r="G1370" s="19" t="n">
        <x:v>90</x:v>
      </x:c>
      <x:c r="H1370" s="19" t="n">
        <x:v>42</x:v>
      </x:c>
      <x:c r="I1370" s="17" t="n">
        <x:v>0.3</x:v>
      </x:c>
      <x:c r="J1370" s="19" t="n">
        <x:v>6</x:v>
      </x:c>
      <x:c r="K1370" s="19" t="n">
        <x:f>E1370*G1370</x:f>
        <x:v>90</x:v>
      </x:c>
      <x:c r="L1370" s="19" t="n">
        <x:f>K1370*I1370</x:f>
        <x:v>27</x:v>
      </x:c>
      <x:c r="M1370" s="19" t="n">
        <x:f>(E1370-F1370)*G1370*(1-I1370)</x:f>
        <x:v>62.99999999999999</x:v>
      </x:c>
      <x:c r="N1370" s="19" t="n">
        <x:f>(E1370-F1370)*H1370</x:f>
        <x:v>42</x:v>
      </x:c>
      <x:c r="O1370" s="19" t="n">
        <x:f>F1370*J1370</x:f>
        <x:v>0</x:v>
      </x:c>
      <x:c r="P1370" s="19" t="n">
        <x:f>M1370-N1370-O1370</x:f>
        <x:v>20.999999999999993</x:v>
      </x:c>
    </x:row>
    <x:row r="1371">
      <x:c r="A1371" s="15" t="str">
        <x:v>SIM-1367</x:v>
      </x:c>
      <x:c r="B1371" s="15" t="str">
        <x:v>2026-06</x:v>
      </x:c>
      <x:c r="C1371" s="15" t="str">
        <x:v>Calzado</x:v>
      </x:c>
      <x:c r="D1371" s="15" t="str">
        <x:v>Tienda</x:v>
      </x:c>
      <x:c r="E1371" s="15" t="n">
        <x:v>1</x:v>
      </x:c>
      <x:c r="F1371" s="15" t="n">
        <x:v>0</x:v>
      </x:c>
      <x:c r="G1371" s="19" t="n">
        <x:v>90</x:v>
      </x:c>
      <x:c r="H1371" s="19" t="n">
        <x:v>42</x:v>
      </x:c>
      <x:c r="I1371" s="17" t="n">
        <x:v>0</x:v>
      </x:c>
      <x:c r="J1371" s="19" t="n">
        <x:v>2</x:v>
      </x:c>
      <x:c r="K1371" s="19" t="n">
        <x:f>E1371*G1371</x:f>
        <x:v>90</x:v>
      </x:c>
      <x:c r="L1371" s="19" t="n">
        <x:f>K1371*I1371</x:f>
        <x:v>0</x:v>
      </x:c>
      <x:c r="M1371" s="19" t="n">
        <x:f>(E1371-F1371)*G1371*(1-I1371)</x:f>
        <x:v>90</x:v>
      </x:c>
      <x:c r="N1371" s="19" t="n">
        <x:f>(E1371-F1371)*H1371</x:f>
        <x:v>42</x:v>
      </x:c>
      <x:c r="O1371" s="19" t="n">
        <x:f>F1371*J1371</x:f>
        <x:v>0</x:v>
      </x:c>
      <x:c r="P1371" s="19" t="n">
        <x:f>M1371-N1371-O1371</x:f>
        <x:v>48</x:v>
      </x:c>
    </x:row>
    <x:row r="1372">
      <x:c r="A1372" s="15" t="str">
        <x:v>SIM-1368</x:v>
      </x:c>
      <x:c r="B1372" s="15" t="str">
        <x:v>2026-06</x:v>
      </x:c>
      <x:c r="C1372" s="15" t="str">
        <x:v>Prendas</x:v>
      </x:c>
      <x:c r="D1372" s="15" t="str">
        <x:v>Tienda</x:v>
      </x:c>
      <x:c r="E1372" s="15" t="n">
        <x:v>1</x:v>
      </x:c>
      <x:c r="F1372" s="15" t="n">
        <x:v>0</x:v>
      </x:c>
      <x:c r="G1372" s="19" t="n">
        <x:v>60</x:v>
      </x:c>
      <x:c r="H1372" s="19" t="n">
        <x:v>24</x:v>
      </x:c>
      <x:c r="I1372" s="17" t="n">
        <x:v>0</x:v>
      </x:c>
      <x:c r="J1372" s="19" t="n">
        <x:v>2</x:v>
      </x:c>
      <x:c r="K1372" s="19" t="n">
        <x:f>E1372*G1372</x:f>
        <x:v>60</x:v>
      </x:c>
      <x:c r="L1372" s="19" t="n">
        <x:f>K1372*I1372</x:f>
        <x:v>0</x:v>
      </x:c>
      <x:c r="M1372" s="19" t="n">
        <x:f>(E1372-F1372)*G1372*(1-I1372)</x:f>
        <x:v>60</x:v>
      </x:c>
      <x:c r="N1372" s="19" t="n">
        <x:f>(E1372-F1372)*H1372</x:f>
        <x:v>24</x:v>
      </x:c>
      <x:c r="O1372" s="19" t="n">
        <x:f>F1372*J1372</x:f>
        <x:v>0</x:v>
      </x:c>
      <x:c r="P1372" s="19" t="n">
        <x:f>M1372-N1372-O1372</x:f>
        <x:v>36</x:v>
      </x:c>
    </x:row>
    <x:row r="1373">
      <x:c r="A1373" s="15" t="str">
        <x:v>SIM-1369</x:v>
      </x:c>
      <x:c r="B1373" s="15" t="str">
        <x:v>2026-06</x:v>
      </x:c>
      <x:c r="C1373" s="15" t="str">
        <x:v>Prendas</x:v>
      </x:c>
      <x:c r="D1373" s="15" t="str">
        <x:v>Online</x:v>
      </x:c>
      <x:c r="E1373" s="15" t="n">
        <x:v>1</x:v>
      </x:c>
      <x:c r="F1373" s="15" t="n">
        <x:v>0</x:v>
      </x:c>
      <x:c r="G1373" s="19" t="n">
        <x:v>60</x:v>
      </x:c>
      <x:c r="H1373" s="19" t="n">
        <x:v>24</x:v>
      </x:c>
      <x:c r="I1373" s="17" t="n">
        <x:v>0.1</x:v>
      </x:c>
      <x:c r="J1373" s="19" t="n">
        <x:v>6</x:v>
      </x:c>
      <x:c r="K1373" s="19" t="n">
        <x:f>E1373*G1373</x:f>
        <x:v>60</x:v>
      </x:c>
      <x:c r="L1373" s="19" t="n">
        <x:f>K1373*I1373</x:f>
        <x:v>6</x:v>
      </x:c>
      <x:c r="M1373" s="19" t="n">
        <x:f>(E1373-F1373)*G1373*(1-I1373)</x:f>
        <x:v>54</x:v>
      </x:c>
      <x:c r="N1373" s="19" t="n">
        <x:f>(E1373-F1373)*H1373</x:f>
        <x:v>24</x:v>
      </x:c>
      <x:c r="O1373" s="19" t="n">
        <x:f>F1373*J1373</x:f>
        <x:v>0</x:v>
      </x:c>
      <x:c r="P1373" s="19" t="n">
        <x:f>M1373-N1373-O1373</x:f>
        <x:v>30</x:v>
      </x:c>
    </x:row>
    <x:row r="1374">
      <x:c r="A1374" s="15" t="str">
        <x:v>SIM-1370</x:v>
      </x:c>
      <x:c r="B1374" s="15" t="str">
        <x:v>2026-06</x:v>
      </x:c>
      <x:c r="C1374" s="15" t="str">
        <x:v>Prendas</x:v>
      </x:c>
      <x:c r="D1374" s="15" t="str">
        <x:v>Online</x:v>
      </x:c>
      <x:c r="E1374" s="15" t="n">
        <x:v>2</x:v>
      </x:c>
      <x:c r="F1374" s="15" t="n">
        <x:v>0</x:v>
      </x:c>
      <x:c r="G1374" s="19" t="n">
        <x:v>60</x:v>
      </x:c>
      <x:c r="H1374" s="19" t="n">
        <x:v>24</x:v>
      </x:c>
      <x:c r="I1374" s="17" t="n">
        <x:v>0.1</x:v>
      </x:c>
      <x:c r="J1374" s="19" t="n">
        <x:v>6</x:v>
      </x:c>
      <x:c r="K1374" s="19" t="n">
        <x:f>E1374*G1374</x:f>
        <x:v>120</x:v>
      </x:c>
      <x:c r="L1374" s="19" t="n">
        <x:f>K1374*I1374</x:f>
        <x:v>12</x:v>
      </x:c>
      <x:c r="M1374" s="19" t="n">
        <x:f>(E1374-F1374)*G1374*(1-I1374)</x:f>
        <x:v>108</x:v>
      </x:c>
      <x:c r="N1374" s="19" t="n">
        <x:f>(E1374-F1374)*H1374</x:f>
        <x:v>48</x:v>
      </x:c>
      <x:c r="O1374" s="19" t="n">
        <x:f>F1374*J1374</x:f>
        <x:v>0</x:v>
      </x:c>
      <x:c r="P1374" s="19" t="n">
        <x:f>M1374-N1374-O1374</x:f>
        <x:v>60</x:v>
      </x:c>
    </x:row>
    <x:row r="1375">
      <x:c r="A1375" s="15" t="str">
        <x:v>SIM-1371</x:v>
      </x:c>
      <x:c r="B1375" s="15" t="str">
        <x:v>2026-06</x:v>
      </x:c>
      <x:c r="C1375" s="15" t="str">
        <x:v>Calzado</x:v>
      </x:c>
      <x:c r="D1375" s="15" t="str">
        <x:v>Online</x:v>
      </x:c>
      <x:c r="E1375" s="15" t="n">
        <x:v>1</x:v>
      </x:c>
      <x:c r="F1375" s="15" t="n">
        <x:v>0</x:v>
      </x:c>
      <x:c r="G1375" s="19" t="n">
        <x:v>90</x:v>
      </x:c>
      <x:c r="H1375" s="19" t="n">
        <x:v>42</x:v>
      </x:c>
      <x:c r="I1375" s="17" t="n">
        <x:v>0.1</x:v>
      </x:c>
      <x:c r="J1375" s="19" t="n">
        <x:v>6</x:v>
      </x:c>
      <x:c r="K1375" s="19" t="n">
        <x:f>E1375*G1375</x:f>
        <x:v>90</x:v>
      </x:c>
      <x:c r="L1375" s="19" t="n">
        <x:f>K1375*I1375</x:f>
        <x:v>9</x:v>
      </x:c>
      <x:c r="M1375" s="19" t="n">
        <x:f>(E1375-F1375)*G1375*(1-I1375)</x:f>
        <x:v>81</x:v>
      </x:c>
      <x:c r="N1375" s="19" t="n">
        <x:f>(E1375-F1375)*H1375</x:f>
        <x:v>42</x:v>
      </x:c>
      <x:c r="O1375" s="19" t="n">
        <x:f>F1375*J1375</x:f>
        <x:v>0</x:v>
      </x:c>
      <x:c r="P1375" s="19" t="n">
        <x:f>M1375-N1375-O1375</x:f>
        <x:v>39</x:v>
      </x:c>
    </x:row>
    <x:row r="1376">
      <x:c r="A1376" s="15" t="str">
        <x:v>SIM-1372</x:v>
      </x:c>
      <x:c r="B1376" s="15" t="str">
        <x:v>2026-06</x:v>
      </x:c>
      <x:c r="C1376" s="15" t="str">
        <x:v>Accesorios</x:v>
      </x:c>
      <x:c r="D1376" s="15" t="str">
        <x:v>Online</x:v>
      </x:c>
      <x:c r="E1376" s="15" t="n">
        <x:v>3</x:v>
      </x:c>
      <x:c r="F1376" s="15" t="n">
        <x:v>0</x:v>
      </x:c>
      <x:c r="G1376" s="19" t="n">
        <x:v>30</x:v>
      </x:c>
      <x:c r="H1376" s="19" t="n">
        <x:v>9</x:v>
      </x:c>
      <x:c r="I1376" s="17" t="n">
        <x:v>0.3</x:v>
      </x:c>
      <x:c r="J1376" s="19" t="n">
        <x:v>6</x:v>
      </x:c>
      <x:c r="K1376" s="19" t="n">
        <x:f>E1376*G1376</x:f>
        <x:v>90</x:v>
      </x:c>
      <x:c r="L1376" s="19" t="n">
        <x:f>K1376*I1376</x:f>
        <x:v>27</x:v>
      </x:c>
      <x:c r="M1376" s="19" t="n">
        <x:f>(E1376-F1376)*G1376*(1-I1376)</x:f>
        <x:v>62.99999999999999</x:v>
      </x:c>
      <x:c r="N1376" s="19" t="n">
        <x:f>(E1376-F1376)*H1376</x:f>
        <x:v>27</x:v>
      </x:c>
      <x:c r="O1376" s="19" t="n">
        <x:f>F1376*J1376</x:f>
        <x:v>0</x:v>
      </x:c>
      <x:c r="P1376" s="19" t="n">
        <x:f>M1376-N1376-O1376</x:f>
        <x:v>35.99999999999999</x:v>
      </x:c>
    </x:row>
    <x:row r="1377">
      <x:c r="A1377" s="15" t="str">
        <x:v>SIM-1373</x:v>
      </x:c>
      <x:c r="B1377" s="15" t="str">
        <x:v>2026-06</x:v>
      </x:c>
      <x:c r="C1377" s="15" t="str">
        <x:v>Calzado</x:v>
      </x:c>
      <x:c r="D1377" s="15" t="str">
        <x:v>Tienda</x:v>
      </x:c>
      <x:c r="E1377" s="15" t="n">
        <x:v>1</x:v>
      </x:c>
      <x:c r="F1377" s="15" t="n">
        <x:v>0</x:v>
      </x:c>
      <x:c r="G1377" s="19" t="n">
        <x:v>90</x:v>
      </x:c>
      <x:c r="H1377" s="19" t="n">
        <x:v>42</x:v>
      </x:c>
      <x:c r="I1377" s="17" t="n">
        <x:v>0.2</x:v>
      </x:c>
      <x:c r="J1377" s="19" t="n">
        <x:v>2</x:v>
      </x:c>
      <x:c r="K1377" s="19" t="n">
        <x:f>E1377*G1377</x:f>
        <x:v>90</x:v>
      </x:c>
      <x:c r="L1377" s="19" t="n">
        <x:f>K1377*I1377</x:f>
        <x:v>18</x:v>
      </x:c>
      <x:c r="M1377" s="19" t="n">
        <x:f>(E1377-F1377)*G1377*(1-I1377)</x:f>
        <x:v>72</x:v>
      </x:c>
      <x:c r="N1377" s="19" t="n">
        <x:f>(E1377-F1377)*H1377</x:f>
        <x:v>42</x:v>
      </x:c>
      <x:c r="O1377" s="19" t="n">
        <x:f>F1377*J1377</x:f>
        <x:v>0</x:v>
      </x:c>
      <x:c r="P1377" s="19" t="n">
        <x:f>M1377-N1377-O1377</x:f>
        <x:v>30</x:v>
      </x:c>
    </x:row>
    <x:row r="1378">
      <x:c r="A1378" s="15" t="str">
        <x:v>SIM-1374</x:v>
      </x:c>
      <x:c r="B1378" s="15" t="str">
        <x:v>2026-06</x:v>
      </x:c>
      <x:c r="C1378" s="15" t="str">
        <x:v>Prendas</x:v>
      </x:c>
      <x:c r="D1378" s="15" t="str">
        <x:v>Online</x:v>
      </x:c>
      <x:c r="E1378" s="15" t="n">
        <x:v>1</x:v>
      </x:c>
      <x:c r="F1378" s="15" t="n">
        <x:v>1</x:v>
      </x:c>
      <x:c r="G1378" s="19" t="n">
        <x:v>60</x:v>
      </x:c>
      <x:c r="H1378" s="19" t="n">
        <x:v>24</x:v>
      </x:c>
      <x:c r="I1378" s="17" t="n">
        <x:v>0.3</x:v>
      </x:c>
      <x:c r="J1378" s="19" t="n">
        <x:v>6</x:v>
      </x:c>
      <x:c r="K1378" s="19" t="n">
        <x:f>E1378*G1378</x:f>
        <x:v>60</x:v>
      </x:c>
      <x:c r="L1378" s="19" t="n">
        <x:f>K1378*I1378</x:f>
        <x:v>18</x:v>
      </x:c>
      <x:c r="M1378" s="19" t="n">
        <x:f>(E1378-F1378)*G1378*(1-I1378)</x:f>
        <x:v>0</x:v>
      </x:c>
      <x:c r="N1378" s="19" t="n">
        <x:f>(E1378-F1378)*H1378</x:f>
        <x:v>0</x:v>
      </x:c>
      <x:c r="O1378" s="19" t="n">
        <x:f>F1378*J1378</x:f>
        <x:v>6</x:v>
      </x:c>
      <x:c r="P1378" s="19" t="n">
        <x:f>M1378-N1378-O1378</x:f>
        <x:v>-6</x:v>
      </x:c>
    </x:row>
    <x:row r="1379">
      <x:c r="A1379" s="15" t="str">
        <x:v>SIM-1375</x:v>
      </x:c>
      <x:c r="B1379" s="15" t="str">
        <x:v>2026-06</x:v>
      </x:c>
      <x:c r="C1379" s="15" t="str">
        <x:v>Accesorios</x:v>
      </x:c>
      <x:c r="D1379" s="15" t="str">
        <x:v>Tienda</x:v>
      </x:c>
      <x:c r="E1379" s="15" t="n">
        <x:v>1</x:v>
      </x:c>
      <x:c r="F1379" s="15" t="n">
        <x:v>0</x:v>
      </x:c>
      <x:c r="G1379" s="19" t="n">
        <x:v>30</x:v>
      </x:c>
      <x:c r="H1379" s="19" t="n">
        <x:v>9</x:v>
      </x:c>
      <x:c r="I1379" s="17" t="n">
        <x:v>0.3</x:v>
      </x:c>
      <x:c r="J1379" s="19" t="n">
        <x:v>2</x:v>
      </x:c>
      <x:c r="K1379" s="19" t="n">
        <x:f>E1379*G1379</x:f>
        <x:v>30</x:v>
      </x:c>
      <x:c r="L1379" s="19" t="n">
        <x:f>K1379*I1379</x:f>
        <x:v>9</x:v>
      </x:c>
      <x:c r="M1379" s="19" t="n">
        <x:f>(E1379-F1379)*G1379*(1-I1379)</x:f>
        <x:v>21</x:v>
      </x:c>
      <x:c r="N1379" s="19" t="n">
        <x:f>(E1379-F1379)*H1379</x:f>
        <x:v>9</x:v>
      </x:c>
      <x:c r="O1379" s="19" t="n">
        <x:f>F1379*J1379</x:f>
        <x:v>0</x:v>
      </x:c>
      <x:c r="P1379" s="19" t="n">
        <x:f>M1379-N1379-O1379</x:f>
        <x:v>12</x:v>
      </x:c>
    </x:row>
    <x:row r="1380">
      <x:c r="A1380" s="15" t="str">
        <x:v>SIM-1376</x:v>
      </x:c>
      <x:c r="B1380" s="15" t="str">
        <x:v>2026-06</x:v>
      </x:c>
      <x:c r="C1380" s="15" t="str">
        <x:v>Prendas</x:v>
      </x:c>
      <x:c r="D1380" s="15" t="str">
        <x:v>Online</x:v>
      </x:c>
      <x:c r="E1380" s="15" t="n">
        <x:v>1</x:v>
      </x:c>
      <x:c r="F1380" s="15" t="n">
        <x:v>0</x:v>
      </x:c>
      <x:c r="G1380" s="19" t="n">
        <x:v>60</x:v>
      </x:c>
      <x:c r="H1380" s="19" t="n">
        <x:v>24</x:v>
      </x:c>
      <x:c r="I1380" s="17" t="n">
        <x:v>0</x:v>
      </x:c>
      <x:c r="J1380" s="19" t="n">
        <x:v>6</x:v>
      </x:c>
      <x:c r="K1380" s="19" t="n">
        <x:f>E1380*G1380</x:f>
        <x:v>60</x:v>
      </x:c>
      <x:c r="L1380" s="19" t="n">
        <x:f>K1380*I1380</x:f>
        <x:v>0</x:v>
      </x:c>
      <x:c r="M1380" s="19" t="n">
        <x:f>(E1380-F1380)*G1380*(1-I1380)</x:f>
        <x:v>60</x:v>
      </x:c>
      <x:c r="N1380" s="19" t="n">
        <x:f>(E1380-F1380)*H1380</x:f>
        <x:v>24</x:v>
      </x:c>
      <x:c r="O1380" s="19" t="n">
        <x:f>F1380*J1380</x:f>
        <x:v>0</x:v>
      </x:c>
      <x:c r="P1380" s="19" t="n">
        <x:f>M1380-N1380-O1380</x:f>
        <x:v>36</x:v>
      </x:c>
    </x:row>
    <x:row r="1381">
      <x:c r="A1381" s="15" t="str">
        <x:v>SIM-1377</x:v>
      </x:c>
      <x:c r="B1381" s="15" t="str">
        <x:v>2026-06</x:v>
      </x:c>
      <x:c r="C1381" s="15" t="str">
        <x:v>Prendas</x:v>
      </x:c>
      <x:c r="D1381" s="15" t="str">
        <x:v>Online</x:v>
      </x:c>
      <x:c r="E1381" s="15" t="n">
        <x:v>1</x:v>
      </x:c>
      <x:c r="F1381" s="15" t="n">
        <x:v>0</x:v>
      </x:c>
      <x:c r="G1381" s="19" t="n">
        <x:v>60</x:v>
      </x:c>
      <x:c r="H1381" s="19" t="n">
        <x:v>24</x:v>
      </x:c>
      <x:c r="I1381" s="17" t="n">
        <x:v>0</x:v>
      </x:c>
      <x:c r="J1381" s="19" t="n">
        <x:v>6</x:v>
      </x:c>
      <x:c r="K1381" s="19" t="n">
        <x:f>E1381*G1381</x:f>
        <x:v>60</x:v>
      </x:c>
      <x:c r="L1381" s="19" t="n">
        <x:f>K1381*I1381</x:f>
        <x:v>0</x:v>
      </x:c>
      <x:c r="M1381" s="19" t="n">
        <x:f>(E1381-F1381)*G1381*(1-I1381)</x:f>
        <x:v>60</x:v>
      </x:c>
      <x:c r="N1381" s="19" t="n">
        <x:f>(E1381-F1381)*H1381</x:f>
        <x:v>24</x:v>
      </x:c>
      <x:c r="O1381" s="19" t="n">
        <x:f>F1381*J1381</x:f>
        <x:v>0</x:v>
      </x:c>
      <x:c r="P1381" s="19" t="n">
        <x:f>M1381-N1381-O1381</x:f>
        <x:v>36</x:v>
      </x:c>
    </x:row>
    <x:row r="1382">
      <x:c r="A1382" s="15" t="str">
        <x:v>SIM-1378</x:v>
      </x:c>
      <x:c r="B1382" s="15" t="str">
        <x:v>2026-06</x:v>
      </x:c>
      <x:c r="C1382" s="15" t="str">
        <x:v>Prendas</x:v>
      </x:c>
      <x:c r="D1382" s="15" t="str">
        <x:v>Tienda</x:v>
      </x:c>
      <x:c r="E1382" s="15" t="n">
        <x:v>1</x:v>
      </x:c>
      <x:c r="F1382" s="15" t="n">
        <x:v>0</x:v>
      </x:c>
      <x:c r="G1382" s="19" t="n">
        <x:v>60</x:v>
      </x:c>
      <x:c r="H1382" s="19" t="n">
        <x:v>24</x:v>
      </x:c>
      <x:c r="I1382" s="17" t="n">
        <x:v>0.2</x:v>
      </x:c>
      <x:c r="J1382" s="19" t="n">
        <x:v>2</x:v>
      </x:c>
      <x:c r="K1382" s="19" t="n">
        <x:f>E1382*G1382</x:f>
        <x:v>60</x:v>
      </x:c>
      <x:c r="L1382" s="19" t="n">
        <x:f>K1382*I1382</x:f>
        <x:v>12</x:v>
      </x:c>
      <x:c r="M1382" s="19" t="n">
        <x:f>(E1382-F1382)*G1382*(1-I1382)</x:f>
        <x:v>48</x:v>
      </x:c>
      <x:c r="N1382" s="19" t="n">
        <x:f>(E1382-F1382)*H1382</x:f>
        <x:v>24</x:v>
      </x:c>
      <x:c r="O1382" s="19" t="n">
        <x:f>F1382*J1382</x:f>
        <x:v>0</x:v>
      </x:c>
      <x:c r="P1382" s="19" t="n">
        <x:f>M1382-N1382-O1382</x:f>
        <x:v>24</x:v>
      </x:c>
    </x:row>
    <x:row r="1383">
      <x:c r="A1383" s="15" t="str">
        <x:v>SIM-1379</x:v>
      </x:c>
      <x:c r="B1383" s="15" t="str">
        <x:v>2026-06</x:v>
      </x:c>
      <x:c r="C1383" s="15" t="str">
        <x:v>Accesorios</x:v>
      </x:c>
      <x:c r="D1383" s="15" t="str">
        <x:v>Tienda</x:v>
      </x:c>
      <x:c r="E1383" s="15" t="n">
        <x:v>1</x:v>
      </x:c>
      <x:c r="F1383" s="15" t="n">
        <x:v>1</x:v>
      </x:c>
      <x:c r="G1383" s="19" t="n">
        <x:v>30</x:v>
      </x:c>
      <x:c r="H1383" s="19" t="n">
        <x:v>9</x:v>
      </x:c>
      <x:c r="I1383" s="17" t="n">
        <x:v>0</x:v>
      </x:c>
      <x:c r="J1383" s="19" t="n">
        <x:v>2</x:v>
      </x:c>
      <x:c r="K1383" s="19" t="n">
        <x:f>E1383*G1383</x:f>
        <x:v>30</x:v>
      </x:c>
      <x:c r="L1383" s="19" t="n">
        <x:f>K1383*I1383</x:f>
        <x:v>0</x:v>
      </x:c>
      <x:c r="M1383" s="19" t="n">
        <x:f>(E1383-F1383)*G1383*(1-I1383)</x:f>
        <x:v>0</x:v>
      </x:c>
      <x:c r="N1383" s="19" t="n">
        <x:f>(E1383-F1383)*H1383</x:f>
        <x:v>0</x:v>
      </x:c>
      <x:c r="O1383" s="19" t="n">
        <x:f>F1383*J1383</x:f>
        <x:v>2</x:v>
      </x:c>
      <x:c r="P1383" s="19" t="n">
        <x:f>M1383-N1383-O1383</x:f>
        <x:v>-2</x:v>
      </x:c>
    </x:row>
    <x:row r="1384">
      <x:c r="A1384" s="15" t="str">
        <x:v>SIM-1380</x:v>
      </x:c>
      <x:c r="B1384" s="15" t="str">
        <x:v>2026-06</x:v>
      </x:c>
      <x:c r="C1384" s="15" t="str">
        <x:v>Calzado</x:v>
      </x:c>
      <x:c r="D1384" s="15" t="str">
        <x:v>Tienda</x:v>
      </x:c>
      <x:c r="E1384" s="15" t="n">
        <x:v>1</x:v>
      </x:c>
      <x:c r="F1384" s="15" t="n">
        <x:v>0</x:v>
      </x:c>
      <x:c r="G1384" s="19" t="n">
        <x:v>90</x:v>
      </x:c>
      <x:c r="H1384" s="19" t="n">
        <x:v>42</x:v>
      </x:c>
      <x:c r="I1384" s="17" t="n">
        <x:v>0.3</x:v>
      </x:c>
      <x:c r="J1384" s="19" t="n">
        <x:v>2</x:v>
      </x:c>
      <x:c r="K1384" s="19" t="n">
        <x:f>E1384*G1384</x:f>
        <x:v>90</x:v>
      </x:c>
      <x:c r="L1384" s="19" t="n">
        <x:f>K1384*I1384</x:f>
        <x:v>27</x:v>
      </x:c>
      <x:c r="M1384" s="19" t="n">
        <x:f>(E1384-F1384)*G1384*(1-I1384)</x:f>
        <x:v>62.99999999999999</x:v>
      </x:c>
      <x:c r="N1384" s="19" t="n">
        <x:f>(E1384-F1384)*H1384</x:f>
        <x:v>42</x:v>
      </x:c>
      <x:c r="O1384" s="19" t="n">
        <x:f>F1384*J1384</x:f>
        <x:v>0</x:v>
      </x:c>
      <x:c r="P1384" s="19" t="n">
        <x:f>M1384-N1384-O1384</x:f>
        <x:v>20.999999999999993</x:v>
      </x:c>
    </x:row>
    <x:row r="1385">
      <x:c r="A1385" s="15" t="str">
        <x:v>SIM-1381</x:v>
      </x:c>
      <x:c r="B1385" s="15" t="str">
        <x:v>2026-06</x:v>
      </x:c>
      <x:c r="C1385" s="15" t="str">
        <x:v>Calzado</x:v>
      </x:c>
      <x:c r="D1385" s="15" t="str">
        <x:v>Tienda</x:v>
      </x:c>
      <x:c r="E1385" s="15" t="n">
        <x:v>1</x:v>
      </x:c>
      <x:c r="F1385" s="15" t="n">
        <x:v>0</x:v>
      </x:c>
      <x:c r="G1385" s="19" t="n">
        <x:v>90</x:v>
      </x:c>
      <x:c r="H1385" s="19" t="n">
        <x:v>42</x:v>
      </x:c>
      <x:c r="I1385" s="17" t="n">
        <x:v>0.1</x:v>
      </x:c>
      <x:c r="J1385" s="19" t="n">
        <x:v>2</x:v>
      </x:c>
      <x:c r="K1385" s="19" t="n">
        <x:f>E1385*G1385</x:f>
        <x:v>90</x:v>
      </x:c>
      <x:c r="L1385" s="19" t="n">
        <x:f>K1385*I1385</x:f>
        <x:v>9</x:v>
      </x:c>
      <x:c r="M1385" s="19" t="n">
        <x:f>(E1385-F1385)*G1385*(1-I1385)</x:f>
        <x:v>81</x:v>
      </x:c>
      <x:c r="N1385" s="19" t="n">
        <x:f>(E1385-F1385)*H1385</x:f>
        <x:v>42</x:v>
      </x:c>
      <x:c r="O1385" s="19" t="n">
        <x:f>F1385*J1385</x:f>
        <x:v>0</x:v>
      </x:c>
      <x:c r="P1385" s="19" t="n">
        <x:f>M1385-N1385-O1385</x:f>
        <x:v>39</x:v>
      </x:c>
    </x:row>
    <x:row r="1386">
      <x:c r="A1386" s="15" t="str">
        <x:v>SIM-1382</x:v>
      </x:c>
      <x:c r="B1386" s="15" t="str">
        <x:v>2026-06</x:v>
      </x:c>
      <x:c r="C1386" s="15" t="str">
        <x:v>Calzado</x:v>
      </x:c>
      <x:c r="D1386" s="15" t="str">
        <x:v>Tienda</x:v>
      </x:c>
      <x:c r="E1386" s="15" t="n">
        <x:v>3</x:v>
      </x:c>
      <x:c r="F1386" s="15" t="n">
        <x:v>0</x:v>
      </x:c>
      <x:c r="G1386" s="19" t="n">
        <x:v>90</x:v>
      </x:c>
      <x:c r="H1386" s="19" t="n">
        <x:v>42</x:v>
      </x:c>
      <x:c r="I1386" s="17" t="n">
        <x:v>0.2</x:v>
      </x:c>
      <x:c r="J1386" s="19" t="n">
        <x:v>2</x:v>
      </x:c>
      <x:c r="K1386" s="19" t="n">
        <x:f>E1386*G1386</x:f>
        <x:v>270</x:v>
      </x:c>
      <x:c r="L1386" s="19" t="n">
        <x:f>K1386*I1386</x:f>
        <x:v>54</x:v>
      </x:c>
      <x:c r="M1386" s="19" t="n">
        <x:f>(E1386-F1386)*G1386*(1-I1386)</x:f>
        <x:v>216</x:v>
      </x:c>
      <x:c r="N1386" s="19" t="n">
        <x:f>(E1386-F1386)*H1386</x:f>
        <x:v>126</x:v>
      </x:c>
      <x:c r="O1386" s="19" t="n">
        <x:f>F1386*J1386</x:f>
        <x:v>0</x:v>
      </x:c>
      <x:c r="P1386" s="19" t="n">
        <x:f>M1386-N1386-O1386</x:f>
        <x:v>90</x:v>
      </x:c>
    </x:row>
    <x:row r="1387">
      <x:c r="A1387" s="15" t="str">
        <x:v>SIM-1383</x:v>
      </x:c>
      <x:c r="B1387" s="15" t="str">
        <x:v>2026-06</x:v>
      </x:c>
      <x:c r="C1387" s="15" t="str">
        <x:v>Prendas</x:v>
      </x:c>
      <x:c r="D1387" s="15" t="str">
        <x:v>Online</x:v>
      </x:c>
      <x:c r="E1387" s="15" t="n">
        <x:v>1</x:v>
      </x:c>
      <x:c r="F1387" s="15" t="n">
        <x:v>0</x:v>
      </x:c>
      <x:c r="G1387" s="19" t="n">
        <x:v>60</x:v>
      </x:c>
      <x:c r="H1387" s="19" t="n">
        <x:v>24</x:v>
      </x:c>
      <x:c r="I1387" s="17" t="n">
        <x:v>0</x:v>
      </x:c>
      <x:c r="J1387" s="19" t="n">
        <x:v>6</x:v>
      </x:c>
      <x:c r="K1387" s="19" t="n">
        <x:f>E1387*G1387</x:f>
        <x:v>60</x:v>
      </x:c>
      <x:c r="L1387" s="19" t="n">
        <x:f>K1387*I1387</x:f>
        <x:v>0</x:v>
      </x:c>
      <x:c r="M1387" s="19" t="n">
        <x:f>(E1387-F1387)*G1387*(1-I1387)</x:f>
        <x:v>60</x:v>
      </x:c>
      <x:c r="N1387" s="19" t="n">
        <x:f>(E1387-F1387)*H1387</x:f>
        <x:v>24</x:v>
      </x:c>
      <x:c r="O1387" s="19" t="n">
        <x:f>F1387*J1387</x:f>
        <x:v>0</x:v>
      </x:c>
      <x:c r="P1387" s="19" t="n">
        <x:f>M1387-N1387-O1387</x:f>
        <x:v>36</x:v>
      </x:c>
    </x:row>
    <x:row r="1388">
      <x:c r="A1388" s="15" t="str">
        <x:v>SIM-1384</x:v>
      </x:c>
      <x:c r="B1388" s="15" t="str">
        <x:v>2026-06</x:v>
      </x:c>
      <x:c r="C1388" s="15" t="str">
        <x:v>Prendas</x:v>
      </x:c>
      <x:c r="D1388" s="15" t="str">
        <x:v>Online</x:v>
      </x:c>
      <x:c r="E1388" s="15" t="n">
        <x:v>1</x:v>
      </x:c>
      <x:c r="F1388" s="15" t="n">
        <x:v>1</x:v>
      </x:c>
      <x:c r="G1388" s="19" t="n">
        <x:v>60</x:v>
      </x:c>
      <x:c r="H1388" s="19" t="n">
        <x:v>24</x:v>
      </x:c>
      <x:c r="I1388" s="17" t="n">
        <x:v>0.3</x:v>
      </x:c>
      <x:c r="J1388" s="19" t="n">
        <x:v>6</x:v>
      </x:c>
      <x:c r="K1388" s="19" t="n">
        <x:f>E1388*G1388</x:f>
        <x:v>60</x:v>
      </x:c>
      <x:c r="L1388" s="19" t="n">
        <x:f>K1388*I1388</x:f>
        <x:v>18</x:v>
      </x:c>
      <x:c r="M1388" s="19" t="n">
        <x:f>(E1388-F1388)*G1388*(1-I1388)</x:f>
        <x:v>0</x:v>
      </x:c>
      <x:c r="N1388" s="19" t="n">
        <x:f>(E1388-F1388)*H1388</x:f>
        <x:v>0</x:v>
      </x:c>
      <x:c r="O1388" s="19" t="n">
        <x:f>F1388*J1388</x:f>
        <x:v>6</x:v>
      </x:c>
      <x:c r="P1388" s="19" t="n">
        <x:f>M1388-N1388-O1388</x:f>
        <x:v>-6</x:v>
      </x:c>
    </x:row>
    <x:row r="1389">
      <x:c r="A1389" s="15" t="str">
        <x:v>SIM-1385</x:v>
      </x:c>
      <x:c r="B1389" s="15" t="str">
        <x:v>2026-06</x:v>
      </x:c>
      <x:c r="C1389" s="15" t="str">
        <x:v>Prendas</x:v>
      </x:c>
      <x:c r="D1389" s="15" t="str">
        <x:v>Online</x:v>
      </x:c>
      <x:c r="E1389" s="15" t="n">
        <x:v>1</x:v>
      </x:c>
      <x:c r="F1389" s="15" t="n">
        <x:v>0</x:v>
      </x:c>
      <x:c r="G1389" s="19" t="n">
        <x:v>60</x:v>
      </x:c>
      <x:c r="H1389" s="19" t="n">
        <x:v>24</x:v>
      </x:c>
      <x:c r="I1389" s="17" t="n">
        <x:v>0.3</x:v>
      </x:c>
      <x:c r="J1389" s="19" t="n">
        <x:v>6</x:v>
      </x:c>
      <x:c r="K1389" s="19" t="n">
        <x:f>E1389*G1389</x:f>
        <x:v>60</x:v>
      </x:c>
      <x:c r="L1389" s="19" t="n">
        <x:f>K1389*I1389</x:f>
        <x:v>18</x:v>
      </x:c>
      <x:c r="M1389" s="19" t="n">
        <x:f>(E1389-F1389)*G1389*(1-I1389)</x:f>
        <x:v>42</x:v>
      </x:c>
      <x:c r="N1389" s="19" t="n">
        <x:f>(E1389-F1389)*H1389</x:f>
        <x:v>24</x:v>
      </x:c>
      <x:c r="O1389" s="19" t="n">
        <x:f>F1389*J1389</x:f>
        <x:v>0</x:v>
      </x:c>
      <x:c r="P1389" s="19" t="n">
        <x:f>M1389-N1389-O1389</x:f>
        <x:v>18</x:v>
      </x:c>
    </x:row>
    <x:row r="1390">
      <x:c r="A1390" s="15" t="str">
        <x:v>SIM-1386</x:v>
      </x:c>
      <x:c r="B1390" s="15" t="str">
        <x:v>2026-06</x:v>
      </x:c>
      <x:c r="C1390" s="15" t="str">
        <x:v>Prendas</x:v>
      </x:c>
      <x:c r="D1390" s="15" t="str">
        <x:v>Online</x:v>
      </x:c>
      <x:c r="E1390" s="15" t="n">
        <x:v>1</x:v>
      </x:c>
      <x:c r="F1390" s="15" t="n">
        <x:v>0</x:v>
      </x:c>
      <x:c r="G1390" s="19" t="n">
        <x:v>60</x:v>
      </x:c>
      <x:c r="H1390" s="19" t="n">
        <x:v>24</x:v>
      </x:c>
      <x:c r="I1390" s="17" t="n">
        <x:v>0.1</x:v>
      </x:c>
      <x:c r="J1390" s="19" t="n">
        <x:v>6</x:v>
      </x:c>
      <x:c r="K1390" s="19" t="n">
        <x:f>E1390*G1390</x:f>
        <x:v>60</x:v>
      </x:c>
      <x:c r="L1390" s="19" t="n">
        <x:f>K1390*I1390</x:f>
        <x:v>6</x:v>
      </x:c>
      <x:c r="M1390" s="19" t="n">
        <x:f>(E1390-F1390)*G1390*(1-I1390)</x:f>
        <x:v>54</x:v>
      </x:c>
      <x:c r="N1390" s="19" t="n">
        <x:f>(E1390-F1390)*H1390</x:f>
        <x:v>24</x:v>
      </x:c>
      <x:c r="O1390" s="19" t="n">
        <x:f>F1390*J1390</x:f>
        <x:v>0</x:v>
      </x:c>
      <x:c r="P1390" s="19" t="n">
        <x:f>M1390-N1390-O1390</x:f>
        <x:v>30</x:v>
      </x:c>
    </x:row>
    <x:row r="1391">
      <x:c r="A1391" s="15" t="str">
        <x:v>SIM-1387</x:v>
      </x:c>
      <x:c r="B1391" s="15" t="str">
        <x:v>2026-06</x:v>
      </x:c>
      <x:c r="C1391" s="15" t="str">
        <x:v>Calzado</x:v>
      </x:c>
      <x:c r="D1391" s="15" t="str">
        <x:v>Online</x:v>
      </x:c>
      <x:c r="E1391" s="15" t="n">
        <x:v>1</x:v>
      </x:c>
      <x:c r="F1391" s="15" t="n">
        <x:v>0</x:v>
      </x:c>
      <x:c r="G1391" s="19" t="n">
        <x:v>90</x:v>
      </x:c>
      <x:c r="H1391" s="19" t="n">
        <x:v>42</x:v>
      </x:c>
      <x:c r="I1391" s="17" t="n">
        <x:v>0.1</x:v>
      </x:c>
      <x:c r="J1391" s="19" t="n">
        <x:v>6</x:v>
      </x:c>
      <x:c r="K1391" s="19" t="n">
        <x:f>E1391*G1391</x:f>
        <x:v>90</x:v>
      </x:c>
      <x:c r="L1391" s="19" t="n">
        <x:f>K1391*I1391</x:f>
        <x:v>9</x:v>
      </x:c>
      <x:c r="M1391" s="19" t="n">
        <x:f>(E1391-F1391)*G1391*(1-I1391)</x:f>
        <x:v>81</x:v>
      </x:c>
      <x:c r="N1391" s="19" t="n">
        <x:f>(E1391-F1391)*H1391</x:f>
        <x:v>42</x:v>
      </x:c>
      <x:c r="O1391" s="19" t="n">
        <x:f>F1391*J1391</x:f>
        <x:v>0</x:v>
      </x:c>
      <x:c r="P1391" s="19" t="n">
        <x:f>M1391-N1391-O1391</x:f>
        <x:v>39</x:v>
      </x:c>
    </x:row>
    <x:row r="1392">
      <x:c r="A1392" s="15" t="str">
        <x:v>SIM-1388</x:v>
      </x:c>
      <x:c r="B1392" s="15" t="str">
        <x:v>2026-06</x:v>
      </x:c>
      <x:c r="C1392" s="15" t="str">
        <x:v>Accesorios</x:v>
      </x:c>
      <x:c r="D1392" s="15" t="str">
        <x:v>Online</x:v>
      </x:c>
      <x:c r="E1392" s="15" t="n">
        <x:v>1</x:v>
      </x:c>
      <x:c r="F1392" s="15" t="n">
        <x:v>0</x:v>
      </x:c>
      <x:c r="G1392" s="19" t="n">
        <x:v>30</x:v>
      </x:c>
      <x:c r="H1392" s="19" t="n">
        <x:v>9</x:v>
      </x:c>
      <x:c r="I1392" s="17" t="n">
        <x:v>0.3</x:v>
      </x:c>
      <x:c r="J1392" s="19" t="n">
        <x:v>6</x:v>
      </x:c>
      <x:c r="K1392" s="19" t="n">
        <x:f>E1392*G1392</x:f>
        <x:v>30</x:v>
      </x:c>
      <x:c r="L1392" s="19" t="n">
        <x:f>K1392*I1392</x:f>
        <x:v>9</x:v>
      </x:c>
      <x:c r="M1392" s="19" t="n">
        <x:f>(E1392-F1392)*G1392*(1-I1392)</x:f>
        <x:v>21</x:v>
      </x:c>
      <x:c r="N1392" s="19" t="n">
        <x:f>(E1392-F1392)*H1392</x:f>
        <x:v>9</x:v>
      </x:c>
      <x:c r="O1392" s="19" t="n">
        <x:f>F1392*J1392</x:f>
        <x:v>0</x:v>
      </x:c>
      <x:c r="P1392" s="19" t="n">
        <x:f>M1392-N1392-O1392</x:f>
        <x:v>12</x:v>
      </x:c>
    </x:row>
    <x:row r="1393">
      <x:c r="A1393" s="15" t="str">
        <x:v>SIM-1389</x:v>
      </x:c>
      <x:c r="B1393" s="15" t="str">
        <x:v>2026-06</x:v>
      </x:c>
      <x:c r="C1393" s="15" t="str">
        <x:v>Prendas</x:v>
      </x:c>
      <x:c r="D1393" s="15" t="str">
        <x:v>Tienda</x:v>
      </x:c>
      <x:c r="E1393" s="15" t="n">
        <x:v>1</x:v>
      </x:c>
      <x:c r="F1393" s="15" t="n">
        <x:v>0</x:v>
      </x:c>
      <x:c r="G1393" s="19" t="n">
        <x:v>60</x:v>
      </x:c>
      <x:c r="H1393" s="19" t="n">
        <x:v>24</x:v>
      </x:c>
      <x:c r="I1393" s="17" t="n">
        <x:v>0.1</x:v>
      </x:c>
      <x:c r="J1393" s="19" t="n">
        <x:v>2</x:v>
      </x:c>
      <x:c r="K1393" s="19" t="n">
        <x:f>E1393*G1393</x:f>
        <x:v>60</x:v>
      </x:c>
      <x:c r="L1393" s="19" t="n">
        <x:f>K1393*I1393</x:f>
        <x:v>6</x:v>
      </x:c>
      <x:c r="M1393" s="19" t="n">
        <x:f>(E1393-F1393)*G1393*(1-I1393)</x:f>
        <x:v>54</x:v>
      </x:c>
      <x:c r="N1393" s="19" t="n">
        <x:f>(E1393-F1393)*H1393</x:f>
        <x:v>24</x:v>
      </x:c>
      <x:c r="O1393" s="19" t="n">
        <x:f>F1393*J1393</x:f>
        <x:v>0</x:v>
      </x:c>
      <x:c r="P1393" s="19" t="n">
        <x:f>M1393-N1393-O1393</x:f>
        <x:v>30</x:v>
      </x:c>
    </x:row>
    <x:row r="1394">
      <x:c r="A1394" s="15" t="str">
        <x:v>SIM-1390</x:v>
      </x:c>
      <x:c r="B1394" s="15" t="str">
        <x:v>2026-06</x:v>
      </x:c>
      <x:c r="C1394" s="15" t="str">
        <x:v>Accesorios</x:v>
      </x:c>
      <x:c r="D1394" s="15" t="str">
        <x:v>Tienda</x:v>
      </x:c>
      <x:c r="E1394" s="15" t="n">
        <x:v>1</x:v>
      </x:c>
      <x:c r="F1394" s="15" t="n">
        <x:v>0</x:v>
      </x:c>
      <x:c r="G1394" s="19" t="n">
        <x:v>30</x:v>
      </x:c>
      <x:c r="H1394" s="19" t="n">
        <x:v>9</x:v>
      </x:c>
      <x:c r="I1394" s="17" t="n">
        <x:v>0.3</x:v>
      </x:c>
      <x:c r="J1394" s="19" t="n">
        <x:v>2</x:v>
      </x:c>
      <x:c r="K1394" s="19" t="n">
        <x:f>E1394*G1394</x:f>
        <x:v>30</x:v>
      </x:c>
      <x:c r="L1394" s="19" t="n">
        <x:f>K1394*I1394</x:f>
        <x:v>9</x:v>
      </x:c>
      <x:c r="M1394" s="19" t="n">
        <x:f>(E1394-F1394)*G1394*(1-I1394)</x:f>
        <x:v>21</x:v>
      </x:c>
      <x:c r="N1394" s="19" t="n">
        <x:f>(E1394-F1394)*H1394</x:f>
        <x:v>9</x:v>
      </x:c>
      <x:c r="O1394" s="19" t="n">
        <x:f>F1394*J1394</x:f>
        <x:v>0</x:v>
      </x:c>
      <x:c r="P1394" s="19" t="n">
        <x:f>M1394-N1394-O1394</x:f>
        <x:v>12</x:v>
      </x:c>
    </x:row>
    <x:row r="1395">
      <x:c r="A1395" s="15" t="str">
        <x:v>SIM-1391</x:v>
      </x:c>
      <x:c r="B1395" s="15" t="str">
        <x:v>2026-06</x:v>
      </x:c>
      <x:c r="C1395" s="15" t="str">
        <x:v>Accesorios</x:v>
      </x:c>
      <x:c r="D1395" s="15" t="str">
        <x:v>Online</x:v>
      </x:c>
      <x:c r="E1395" s="15" t="n">
        <x:v>1</x:v>
      </x:c>
      <x:c r="F1395" s="15" t="n">
        <x:v>0</x:v>
      </x:c>
      <x:c r="G1395" s="19" t="n">
        <x:v>30</x:v>
      </x:c>
      <x:c r="H1395" s="19" t="n">
        <x:v>9</x:v>
      </x:c>
      <x:c r="I1395" s="17" t="n">
        <x:v>0.1</x:v>
      </x:c>
      <x:c r="J1395" s="19" t="n">
        <x:v>6</x:v>
      </x:c>
      <x:c r="K1395" s="19" t="n">
        <x:f>E1395*G1395</x:f>
        <x:v>30</x:v>
      </x:c>
      <x:c r="L1395" s="19" t="n">
        <x:f>K1395*I1395</x:f>
        <x:v>3</x:v>
      </x:c>
      <x:c r="M1395" s="19" t="n">
        <x:f>(E1395-F1395)*G1395*(1-I1395)</x:f>
        <x:v>27</x:v>
      </x:c>
      <x:c r="N1395" s="19" t="n">
        <x:f>(E1395-F1395)*H1395</x:f>
        <x:v>9</x:v>
      </x:c>
      <x:c r="O1395" s="19" t="n">
        <x:f>F1395*J1395</x:f>
        <x:v>0</x:v>
      </x:c>
      <x:c r="P1395" s="19" t="n">
        <x:f>M1395-N1395-O1395</x:f>
        <x:v>18</x:v>
      </x:c>
    </x:row>
    <x:row r="1396">
      <x:c r="A1396" s="15" t="str">
        <x:v>SIM-1392</x:v>
      </x:c>
      <x:c r="B1396" s="15" t="str">
        <x:v>2026-06</x:v>
      </x:c>
      <x:c r="C1396" s="15" t="str">
        <x:v>Calzado</x:v>
      </x:c>
      <x:c r="D1396" s="15" t="str">
        <x:v>Online</x:v>
      </x:c>
      <x:c r="E1396" s="15" t="n">
        <x:v>2</x:v>
      </x:c>
      <x:c r="F1396" s="15" t="n">
        <x:v>0</x:v>
      </x:c>
      <x:c r="G1396" s="19" t="n">
        <x:v>90</x:v>
      </x:c>
      <x:c r="H1396" s="19" t="n">
        <x:v>42</x:v>
      </x:c>
      <x:c r="I1396" s="17" t="n">
        <x:v>0.3</x:v>
      </x:c>
      <x:c r="J1396" s="19" t="n">
        <x:v>6</x:v>
      </x:c>
      <x:c r="K1396" s="19" t="n">
        <x:f>E1396*G1396</x:f>
        <x:v>180</x:v>
      </x:c>
      <x:c r="L1396" s="19" t="n">
        <x:f>K1396*I1396</x:f>
        <x:v>54</x:v>
      </x:c>
      <x:c r="M1396" s="19" t="n">
        <x:f>(E1396-F1396)*G1396*(1-I1396)</x:f>
        <x:v>125.99999999999999</x:v>
      </x:c>
      <x:c r="N1396" s="19" t="n">
        <x:f>(E1396-F1396)*H1396</x:f>
        <x:v>84</x:v>
      </x:c>
      <x:c r="O1396" s="19" t="n">
        <x:f>F1396*J1396</x:f>
        <x:v>0</x:v>
      </x:c>
      <x:c r="P1396" s="19" t="n">
        <x:f>M1396-N1396-O1396</x:f>
        <x:v>41.999999999999986</x:v>
      </x:c>
    </x:row>
    <x:row r="1397">
      <x:c r="A1397" s="15" t="str">
        <x:v>SIM-1393</x:v>
      </x:c>
      <x:c r="B1397" s="15" t="str">
        <x:v>2026-06</x:v>
      </x:c>
      <x:c r="C1397" s="15" t="str">
        <x:v>Calzado</x:v>
      </x:c>
      <x:c r="D1397" s="15" t="str">
        <x:v>Tienda</x:v>
      </x:c>
      <x:c r="E1397" s="15" t="n">
        <x:v>1</x:v>
      </x:c>
      <x:c r="F1397" s="15" t="n">
        <x:v>0</x:v>
      </x:c>
      <x:c r="G1397" s="19" t="n">
        <x:v>90</x:v>
      </x:c>
      <x:c r="H1397" s="19" t="n">
        <x:v>42</x:v>
      </x:c>
      <x:c r="I1397" s="17" t="n">
        <x:v>0.3</x:v>
      </x:c>
      <x:c r="J1397" s="19" t="n">
        <x:v>2</x:v>
      </x:c>
      <x:c r="K1397" s="19" t="n">
        <x:f>E1397*G1397</x:f>
        <x:v>90</x:v>
      </x:c>
      <x:c r="L1397" s="19" t="n">
        <x:f>K1397*I1397</x:f>
        <x:v>27</x:v>
      </x:c>
      <x:c r="M1397" s="19" t="n">
        <x:f>(E1397-F1397)*G1397*(1-I1397)</x:f>
        <x:v>62.99999999999999</x:v>
      </x:c>
      <x:c r="N1397" s="19" t="n">
        <x:f>(E1397-F1397)*H1397</x:f>
        <x:v>42</x:v>
      </x:c>
      <x:c r="O1397" s="19" t="n">
        <x:f>F1397*J1397</x:f>
        <x:v>0</x:v>
      </x:c>
      <x:c r="P1397" s="19" t="n">
        <x:f>M1397-N1397-O1397</x:f>
        <x:v>20.999999999999993</x:v>
      </x:c>
    </x:row>
    <x:row r="1398">
      <x:c r="A1398" s="15" t="str">
        <x:v>SIM-1394</x:v>
      </x:c>
      <x:c r="B1398" s="15" t="str">
        <x:v>2026-06</x:v>
      </x:c>
      <x:c r="C1398" s="15" t="str">
        <x:v>Calzado</x:v>
      </x:c>
      <x:c r="D1398" s="15" t="str">
        <x:v>Online</x:v>
      </x:c>
      <x:c r="E1398" s="15" t="n">
        <x:v>3</x:v>
      </x:c>
      <x:c r="F1398" s="15" t="n">
        <x:v>1</x:v>
      </x:c>
      <x:c r="G1398" s="19" t="n">
        <x:v>90</x:v>
      </x:c>
      <x:c r="H1398" s="19" t="n">
        <x:v>42</x:v>
      </x:c>
      <x:c r="I1398" s="17" t="n">
        <x:v>0.2</x:v>
      </x:c>
      <x:c r="J1398" s="19" t="n">
        <x:v>6</x:v>
      </x:c>
      <x:c r="K1398" s="19" t="n">
        <x:f>E1398*G1398</x:f>
        <x:v>270</x:v>
      </x:c>
      <x:c r="L1398" s="19" t="n">
        <x:f>K1398*I1398</x:f>
        <x:v>54</x:v>
      </x:c>
      <x:c r="M1398" s="19" t="n">
        <x:f>(E1398-F1398)*G1398*(1-I1398)</x:f>
        <x:v>144</x:v>
      </x:c>
      <x:c r="N1398" s="19" t="n">
        <x:f>(E1398-F1398)*H1398</x:f>
        <x:v>84</x:v>
      </x:c>
      <x:c r="O1398" s="19" t="n">
        <x:f>F1398*J1398</x:f>
        <x:v>6</x:v>
      </x:c>
      <x:c r="P1398" s="19" t="n">
        <x:f>M1398-N1398-O1398</x:f>
        <x:v>54</x:v>
      </x:c>
    </x:row>
    <x:row r="1399">
      <x:c r="A1399" s="15" t="str">
        <x:v>SIM-1395</x:v>
      </x:c>
      <x:c r="B1399" s="15" t="str">
        <x:v>2026-06</x:v>
      </x:c>
      <x:c r="C1399" s="15" t="str">
        <x:v>Prendas</x:v>
      </x:c>
      <x:c r="D1399" s="15" t="str">
        <x:v>Online</x:v>
      </x:c>
      <x:c r="E1399" s="15" t="n">
        <x:v>1</x:v>
      </x:c>
      <x:c r="F1399" s="15" t="n">
        <x:v>0</x:v>
      </x:c>
      <x:c r="G1399" s="19" t="n">
        <x:v>60</x:v>
      </x:c>
      <x:c r="H1399" s="19" t="n">
        <x:v>24</x:v>
      </x:c>
      <x:c r="I1399" s="17" t="n">
        <x:v>0.3</x:v>
      </x:c>
      <x:c r="J1399" s="19" t="n">
        <x:v>6</x:v>
      </x:c>
      <x:c r="K1399" s="19" t="n">
        <x:f>E1399*G1399</x:f>
        <x:v>60</x:v>
      </x:c>
      <x:c r="L1399" s="19" t="n">
        <x:f>K1399*I1399</x:f>
        <x:v>18</x:v>
      </x:c>
      <x:c r="M1399" s="19" t="n">
        <x:f>(E1399-F1399)*G1399*(1-I1399)</x:f>
        <x:v>42</x:v>
      </x:c>
      <x:c r="N1399" s="19" t="n">
        <x:f>(E1399-F1399)*H1399</x:f>
        <x:v>24</x:v>
      </x:c>
      <x:c r="O1399" s="19" t="n">
        <x:f>F1399*J1399</x:f>
        <x:v>0</x:v>
      </x:c>
      <x:c r="P1399" s="19" t="n">
        <x:f>M1399-N1399-O1399</x:f>
        <x:v>18</x:v>
      </x:c>
    </x:row>
    <x:row r="1400">
      <x:c r="A1400" s="15" t="str">
        <x:v>SIM-1396</x:v>
      </x:c>
      <x:c r="B1400" s="15" t="str">
        <x:v>2026-06</x:v>
      </x:c>
      <x:c r="C1400" s="15" t="str">
        <x:v>Calzado</x:v>
      </x:c>
      <x:c r="D1400" s="15" t="str">
        <x:v>Tienda</x:v>
      </x:c>
      <x:c r="E1400" s="15" t="n">
        <x:v>1</x:v>
      </x:c>
      <x:c r="F1400" s="15" t="n">
        <x:v>0</x:v>
      </x:c>
      <x:c r="G1400" s="19" t="n">
        <x:v>90</x:v>
      </x:c>
      <x:c r="H1400" s="19" t="n">
        <x:v>42</x:v>
      </x:c>
      <x:c r="I1400" s="17" t="n">
        <x:v>0.3</x:v>
      </x:c>
      <x:c r="J1400" s="19" t="n">
        <x:v>2</x:v>
      </x:c>
      <x:c r="K1400" s="19" t="n">
        <x:f>E1400*G1400</x:f>
        <x:v>90</x:v>
      </x:c>
      <x:c r="L1400" s="19" t="n">
        <x:f>K1400*I1400</x:f>
        <x:v>27</x:v>
      </x:c>
      <x:c r="M1400" s="19" t="n">
        <x:f>(E1400-F1400)*G1400*(1-I1400)</x:f>
        <x:v>62.99999999999999</x:v>
      </x:c>
      <x:c r="N1400" s="19" t="n">
        <x:f>(E1400-F1400)*H1400</x:f>
        <x:v>42</x:v>
      </x:c>
      <x:c r="O1400" s="19" t="n">
        <x:f>F1400*J1400</x:f>
        <x:v>0</x:v>
      </x:c>
      <x:c r="P1400" s="19" t="n">
        <x:f>M1400-N1400-O1400</x:f>
        <x:v>20.999999999999993</x:v>
      </x:c>
    </x:row>
    <x:row r="1401">
      <x:c r="A1401" s="15" t="str">
        <x:v>SIM-1397</x:v>
      </x:c>
      <x:c r="B1401" s="15" t="str">
        <x:v>2026-06</x:v>
      </x:c>
      <x:c r="C1401" s="15" t="str">
        <x:v>Calzado</x:v>
      </x:c>
      <x:c r="D1401" s="15" t="str">
        <x:v>Tienda</x:v>
      </x:c>
      <x:c r="E1401" s="15" t="n">
        <x:v>1</x:v>
      </x:c>
      <x:c r="F1401" s="15" t="n">
        <x:v>0</x:v>
      </x:c>
      <x:c r="G1401" s="19" t="n">
        <x:v>90</x:v>
      </x:c>
      <x:c r="H1401" s="19" t="n">
        <x:v>42</x:v>
      </x:c>
      <x:c r="I1401" s="17" t="n">
        <x:v>0</x:v>
      </x:c>
      <x:c r="J1401" s="19" t="n">
        <x:v>2</x:v>
      </x:c>
      <x:c r="K1401" s="19" t="n">
        <x:f>E1401*G1401</x:f>
        <x:v>90</x:v>
      </x:c>
      <x:c r="L1401" s="19" t="n">
        <x:f>K1401*I1401</x:f>
        <x:v>0</x:v>
      </x:c>
      <x:c r="M1401" s="19" t="n">
        <x:f>(E1401-F1401)*G1401*(1-I1401)</x:f>
        <x:v>90</x:v>
      </x:c>
      <x:c r="N1401" s="19" t="n">
        <x:f>(E1401-F1401)*H1401</x:f>
        <x:v>42</x:v>
      </x:c>
      <x:c r="O1401" s="19" t="n">
        <x:f>F1401*J1401</x:f>
        <x:v>0</x:v>
      </x:c>
      <x:c r="P1401" s="19" t="n">
        <x:f>M1401-N1401-O1401</x:f>
        <x:v>48</x:v>
      </x:c>
    </x:row>
    <x:row r="1402">
      <x:c r="A1402" s="15" t="str">
        <x:v>SIM-1398</x:v>
      </x:c>
      <x:c r="B1402" s="15" t="str">
        <x:v>2026-06</x:v>
      </x:c>
      <x:c r="C1402" s="15" t="str">
        <x:v>Calzado</x:v>
      </x:c>
      <x:c r="D1402" s="15" t="str">
        <x:v>Online</x:v>
      </x:c>
      <x:c r="E1402" s="15" t="n">
        <x:v>1</x:v>
      </x:c>
      <x:c r="F1402" s="15" t="n">
        <x:v>0</x:v>
      </x:c>
      <x:c r="G1402" s="19" t="n">
        <x:v>90</x:v>
      </x:c>
      <x:c r="H1402" s="19" t="n">
        <x:v>42</x:v>
      </x:c>
      <x:c r="I1402" s="17" t="n">
        <x:v>0.3</x:v>
      </x:c>
      <x:c r="J1402" s="19" t="n">
        <x:v>6</x:v>
      </x:c>
      <x:c r="K1402" s="19" t="n">
        <x:f>E1402*G1402</x:f>
        <x:v>90</x:v>
      </x:c>
      <x:c r="L1402" s="19" t="n">
        <x:f>K1402*I1402</x:f>
        <x:v>27</x:v>
      </x:c>
      <x:c r="M1402" s="19" t="n">
        <x:f>(E1402-F1402)*G1402*(1-I1402)</x:f>
        <x:v>62.99999999999999</x:v>
      </x:c>
      <x:c r="N1402" s="19" t="n">
        <x:f>(E1402-F1402)*H1402</x:f>
        <x:v>42</x:v>
      </x:c>
      <x:c r="O1402" s="19" t="n">
        <x:f>F1402*J1402</x:f>
        <x:v>0</x:v>
      </x:c>
      <x:c r="P1402" s="19" t="n">
        <x:f>M1402-N1402-O1402</x:f>
        <x:v>20.999999999999993</x:v>
      </x:c>
    </x:row>
    <x:row r="1403">
      <x:c r="A1403" s="15" t="str">
        <x:v>SIM-1399</x:v>
      </x:c>
      <x:c r="B1403" s="15" t="str">
        <x:v>2026-06</x:v>
      </x:c>
      <x:c r="C1403" s="15" t="str">
        <x:v>Calzado</x:v>
      </x:c>
      <x:c r="D1403" s="15" t="str">
        <x:v>Tienda</x:v>
      </x:c>
      <x:c r="E1403" s="15" t="n">
        <x:v>2</x:v>
      </x:c>
      <x:c r="F1403" s="15" t="n">
        <x:v>0</x:v>
      </x:c>
      <x:c r="G1403" s="19" t="n">
        <x:v>90</x:v>
      </x:c>
      <x:c r="H1403" s="19" t="n">
        <x:v>42</x:v>
      </x:c>
      <x:c r="I1403" s="17" t="n">
        <x:v>0</x:v>
      </x:c>
      <x:c r="J1403" s="19" t="n">
        <x:v>2</x:v>
      </x:c>
      <x:c r="K1403" s="19" t="n">
        <x:f>E1403*G1403</x:f>
        <x:v>180</x:v>
      </x:c>
      <x:c r="L1403" s="19" t="n">
        <x:f>K1403*I1403</x:f>
        <x:v>0</x:v>
      </x:c>
      <x:c r="M1403" s="19" t="n">
        <x:f>(E1403-F1403)*G1403*(1-I1403)</x:f>
        <x:v>180</x:v>
      </x:c>
      <x:c r="N1403" s="19" t="n">
        <x:f>(E1403-F1403)*H1403</x:f>
        <x:v>84</x:v>
      </x:c>
      <x:c r="O1403" s="19" t="n">
        <x:f>F1403*J1403</x:f>
        <x:v>0</x:v>
      </x:c>
      <x:c r="P1403" s="19" t="n">
        <x:f>M1403-N1403-O1403</x:f>
        <x:v>96</x:v>
      </x:c>
    </x:row>
    <x:row r="1404">
      <x:c r="A1404" s="15" t="str">
        <x:v>SIM-1400</x:v>
      </x:c>
      <x:c r="B1404" s="15" t="str">
        <x:v>2026-06</x:v>
      </x:c>
      <x:c r="C1404" s="15" t="str">
        <x:v>Prendas</x:v>
      </x:c>
      <x:c r="D1404" s="15" t="str">
        <x:v>Online</x:v>
      </x:c>
      <x:c r="E1404" s="15" t="n">
        <x:v>1</x:v>
      </x:c>
      <x:c r="F1404" s="15" t="n">
        <x:v>0</x:v>
      </x:c>
      <x:c r="G1404" s="19" t="n">
        <x:v>60</x:v>
      </x:c>
      <x:c r="H1404" s="19" t="n">
        <x:v>24</x:v>
      </x:c>
      <x:c r="I1404" s="17" t="n">
        <x:v>0.3</x:v>
      </x:c>
      <x:c r="J1404" s="19" t="n">
        <x:v>6</x:v>
      </x:c>
      <x:c r="K1404" s="19" t="n">
        <x:f>E1404*G1404</x:f>
        <x:v>60</x:v>
      </x:c>
      <x:c r="L1404" s="19" t="n">
        <x:f>K1404*I1404</x:f>
        <x:v>18</x:v>
      </x:c>
      <x:c r="M1404" s="19" t="n">
        <x:f>(E1404-F1404)*G1404*(1-I1404)</x:f>
        <x:v>42</x:v>
      </x:c>
      <x:c r="N1404" s="19" t="n">
        <x:f>(E1404-F1404)*H1404</x:f>
        <x:v>24</x:v>
      </x:c>
      <x:c r="O1404" s="19" t="n">
        <x:f>F1404*J1404</x:f>
        <x:v>0</x:v>
      </x:c>
      <x:c r="P1404" s="19" t="n">
        <x:f>M1404-N1404-O1404</x:f>
        <x:v>18</x:v>
      </x:c>
    </x:row>
    <x:row r="1405">
      <x:c r="A1405" s="15" t="str">
        <x:v>SIM-1401</x:v>
      </x:c>
      <x:c r="B1405" s="15" t="str">
        <x:v>2026-06</x:v>
      </x:c>
      <x:c r="C1405" s="15" t="str">
        <x:v>Calzado</x:v>
      </x:c>
      <x:c r="D1405" s="15" t="str">
        <x:v>Tienda</x:v>
      </x:c>
      <x:c r="E1405" s="15" t="n">
        <x:v>2</x:v>
      </x:c>
      <x:c r="F1405" s="15" t="n">
        <x:v>0</x:v>
      </x:c>
      <x:c r="G1405" s="19" t="n">
        <x:v>90</x:v>
      </x:c>
      <x:c r="H1405" s="19" t="n">
        <x:v>42</x:v>
      </x:c>
      <x:c r="I1405" s="17" t="n">
        <x:v>0.2</x:v>
      </x:c>
      <x:c r="J1405" s="19" t="n">
        <x:v>2</x:v>
      </x:c>
      <x:c r="K1405" s="19" t="n">
        <x:f>E1405*G1405</x:f>
        <x:v>180</x:v>
      </x:c>
      <x:c r="L1405" s="19" t="n">
        <x:f>K1405*I1405</x:f>
        <x:v>36</x:v>
      </x:c>
      <x:c r="M1405" s="19" t="n">
        <x:f>(E1405-F1405)*G1405*(1-I1405)</x:f>
        <x:v>144</x:v>
      </x:c>
      <x:c r="N1405" s="19" t="n">
        <x:f>(E1405-F1405)*H1405</x:f>
        <x:v>84</x:v>
      </x:c>
      <x:c r="O1405" s="19" t="n">
        <x:f>F1405*J1405</x:f>
        <x:v>0</x:v>
      </x:c>
      <x:c r="P1405" s="19" t="n">
        <x:f>M1405-N1405-O1405</x:f>
        <x:v>60</x:v>
      </x:c>
    </x:row>
    <x:row r="1406">
      <x:c r="A1406" s="15" t="str">
        <x:v>SIM-1402</x:v>
      </x:c>
      <x:c r="B1406" s="15" t="str">
        <x:v>2026-06</x:v>
      </x:c>
      <x:c r="C1406" s="15" t="str">
        <x:v>Prendas</x:v>
      </x:c>
      <x:c r="D1406" s="15" t="str">
        <x:v>Online</x:v>
      </x:c>
      <x:c r="E1406" s="15" t="n">
        <x:v>1</x:v>
      </x:c>
      <x:c r="F1406" s="15" t="n">
        <x:v>0</x:v>
      </x:c>
      <x:c r="G1406" s="19" t="n">
        <x:v>60</x:v>
      </x:c>
      <x:c r="H1406" s="19" t="n">
        <x:v>24</x:v>
      </x:c>
      <x:c r="I1406" s="17" t="n">
        <x:v>0.1</x:v>
      </x:c>
      <x:c r="J1406" s="19" t="n">
        <x:v>6</x:v>
      </x:c>
      <x:c r="K1406" s="19" t="n">
        <x:f>E1406*G1406</x:f>
        <x:v>60</x:v>
      </x:c>
      <x:c r="L1406" s="19" t="n">
        <x:f>K1406*I1406</x:f>
        <x:v>6</x:v>
      </x:c>
      <x:c r="M1406" s="19" t="n">
        <x:f>(E1406-F1406)*G1406*(1-I1406)</x:f>
        <x:v>54</x:v>
      </x:c>
      <x:c r="N1406" s="19" t="n">
        <x:f>(E1406-F1406)*H1406</x:f>
        <x:v>24</x:v>
      </x:c>
      <x:c r="O1406" s="19" t="n">
        <x:f>F1406*J1406</x:f>
        <x:v>0</x:v>
      </x:c>
      <x:c r="P1406" s="19" t="n">
        <x:f>M1406-N1406-O1406</x:f>
        <x:v>30</x:v>
      </x:c>
    </x:row>
    <x:row r="1407">
      <x:c r="A1407" s="15" t="str">
        <x:v>SIM-1403</x:v>
      </x:c>
      <x:c r="B1407" s="15" t="str">
        <x:v>2026-06</x:v>
      </x:c>
      <x:c r="C1407" s="15" t="str">
        <x:v>Calzado</x:v>
      </x:c>
      <x:c r="D1407" s="15" t="str">
        <x:v>Online</x:v>
      </x:c>
      <x:c r="E1407" s="15" t="n">
        <x:v>1</x:v>
      </x:c>
      <x:c r="F1407" s="15" t="n">
        <x:v>0</x:v>
      </x:c>
      <x:c r="G1407" s="19" t="n">
        <x:v>90</x:v>
      </x:c>
      <x:c r="H1407" s="19" t="n">
        <x:v>42</x:v>
      </x:c>
      <x:c r="I1407" s="17" t="n">
        <x:v>0</x:v>
      </x:c>
      <x:c r="J1407" s="19" t="n">
        <x:v>6</x:v>
      </x:c>
      <x:c r="K1407" s="19" t="n">
        <x:f>E1407*G1407</x:f>
        <x:v>90</x:v>
      </x:c>
      <x:c r="L1407" s="19" t="n">
        <x:f>K1407*I1407</x:f>
        <x:v>0</x:v>
      </x:c>
      <x:c r="M1407" s="19" t="n">
        <x:f>(E1407-F1407)*G1407*(1-I1407)</x:f>
        <x:v>90</x:v>
      </x:c>
      <x:c r="N1407" s="19" t="n">
        <x:f>(E1407-F1407)*H1407</x:f>
        <x:v>42</x:v>
      </x:c>
      <x:c r="O1407" s="19" t="n">
        <x:f>F1407*J1407</x:f>
        <x:v>0</x:v>
      </x:c>
      <x:c r="P1407" s="19" t="n">
        <x:f>M1407-N1407-O1407</x:f>
        <x:v>48</x:v>
      </x:c>
    </x:row>
    <x:row r="1408">
      <x:c r="A1408" s="15" t="str">
        <x:v>SIM-1404</x:v>
      </x:c>
      <x:c r="B1408" s="15" t="str">
        <x:v>2026-06</x:v>
      </x:c>
      <x:c r="C1408" s="15" t="str">
        <x:v>Accesorios</x:v>
      </x:c>
      <x:c r="D1408" s="15" t="str">
        <x:v>Online</x:v>
      </x:c>
      <x:c r="E1408" s="15" t="n">
        <x:v>2</x:v>
      </x:c>
      <x:c r="F1408" s="15" t="n">
        <x:v>0</x:v>
      </x:c>
      <x:c r="G1408" s="19" t="n">
        <x:v>30</x:v>
      </x:c>
      <x:c r="H1408" s="19" t="n">
        <x:v>9</x:v>
      </x:c>
      <x:c r="I1408" s="17" t="n">
        <x:v>0.1</x:v>
      </x:c>
      <x:c r="J1408" s="19" t="n">
        <x:v>6</x:v>
      </x:c>
      <x:c r="K1408" s="19" t="n">
        <x:f>E1408*G1408</x:f>
        <x:v>60</x:v>
      </x:c>
      <x:c r="L1408" s="19" t="n">
        <x:f>K1408*I1408</x:f>
        <x:v>6</x:v>
      </x:c>
      <x:c r="M1408" s="19" t="n">
        <x:f>(E1408-F1408)*G1408*(1-I1408)</x:f>
        <x:v>54</x:v>
      </x:c>
      <x:c r="N1408" s="19" t="n">
        <x:f>(E1408-F1408)*H1408</x:f>
        <x:v>18</x:v>
      </x:c>
      <x:c r="O1408" s="19" t="n">
        <x:f>F1408*J1408</x:f>
        <x:v>0</x:v>
      </x:c>
      <x:c r="P1408" s="19" t="n">
        <x:f>M1408-N1408-O1408</x:f>
        <x:v>36</x:v>
      </x:c>
    </x:row>
    <x:row r="1409">
      <x:c r="A1409" s="15" t="str">
        <x:v>SIM-1405</x:v>
      </x:c>
      <x:c r="B1409" s="15" t="str">
        <x:v>2026-06</x:v>
      </x:c>
      <x:c r="C1409" s="15" t="str">
        <x:v>Calzado</x:v>
      </x:c>
      <x:c r="D1409" s="15" t="str">
        <x:v>Tienda</x:v>
      </x:c>
      <x:c r="E1409" s="15" t="n">
        <x:v>1</x:v>
      </x:c>
      <x:c r="F1409" s="15" t="n">
        <x:v>0</x:v>
      </x:c>
      <x:c r="G1409" s="19" t="n">
        <x:v>90</x:v>
      </x:c>
      <x:c r="H1409" s="19" t="n">
        <x:v>42</x:v>
      </x:c>
      <x:c r="I1409" s="17" t="n">
        <x:v>0.2</x:v>
      </x:c>
      <x:c r="J1409" s="19" t="n">
        <x:v>2</x:v>
      </x:c>
      <x:c r="K1409" s="19" t="n">
        <x:f>E1409*G1409</x:f>
        <x:v>90</x:v>
      </x:c>
      <x:c r="L1409" s="19" t="n">
        <x:f>K1409*I1409</x:f>
        <x:v>18</x:v>
      </x:c>
      <x:c r="M1409" s="19" t="n">
        <x:f>(E1409-F1409)*G1409*(1-I1409)</x:f>
        <x:v>72</x:v>
      </x:c>
      <x:c r="N1409" s="19" t="n">
        <x:f>(E1409-F1409)*H1409</x:f>
        <x:v>42</x:v>
      </x:c>
      <x:c r="O1409" s="19" t="n">
        <x:f>F1409*J1409</x:f>
        <x:v>0</x:v>
      </x:c>
      <x:c r="P1409" s="19" t="n">
        <x:f>M1409-N1409-O1409</x:f>
        <x:v>30</x:v>
      </x:c>
    </x:row>
    <x:row r="1410">
      <x:c r="A1410" s="15" t="str">
        <x:v>SIM-1406</x:v>
      </x:c>
      <x:c r="B1410" s="15" t="str">
        <x:v>2026-06</x:v>
      </x:c>
      <x:c r="C1410" s="15" t="str">
        <x:v>Calzado</x:v>
      </x:c>
      <x:c r="D1410" s="15" t="str">
        <x:v>Tienda</x:v>
      </x:c>
      <x:c r="E1410" s="15" t="n">
        <x:v>1</x:v>
      </x:c>
      <x:c r="F1410" s="15" t="n">
        <x:v>0</x:v>
      </x:c>
      <x:c r="G1410" s="19" t="n">
        <x:v>90</x:v>
      </x:c>
      <x:c r="H1410" s="19" t="n">
        <x:v>42</x:v>
      </x:c>
      <x:c r="I1410" s="17" t="n">
        <x:v>0.3</x:v>
      </x:c>
      <x:c r="J1410" s="19" t="n">
        <x:v>2</x:v>
      </x:c>
      <x:c r="K1410" s="19" t="n">
        <x:f>E1410*G1410</x:f>
        <x:v>90</x:v>
      </x:c>
      <x:c r="L1410" s="19" t="n">
        <x:f>K1410*I1410</x:f>
        <x:v>27</x:v>
      </x:c>
      <x:c r="M1410" s="19" t="n">
        <x:f>(E1410-F1410)*G1410*(1-I1410)</x:f>
        <x:v>62.99999999999999</x:v>
      </x:c>
      <x:c r="N1410" s="19" t="n">
        <x:f>(E1410-F1410)*H1410</x:f>
        <x:v>42</x:v>
      </x:c>
      <x:c r="O1410" s="19" t="n">
        <x:f>F1410*J1410</x:f>
        <x:v>0</x:v>
      </x:c>
      <x:c r="P1410" s="19" t="n">
        <x:f>M1410-N1410-O1410</x:f>
        <x:v>20.999999999999993</x:v>
      </x:c>
    </x:row>
    <x:row r="1411">
      <x:c r="A1411" s="15" t="str">
        <x:v>SIM-1407</x:v>
      </x:c>
      <x:c r="B1411" s="15" t="str">
        <x:v>2026-06</x:v>
      </x:c>
      <x:c r="C1411" s="15" t="str">
        <x:v>Prendas</x:v>
      </x:c>
      <x:c r="D1411" s="15" t="str">
        <x:v>Tienda</x:v>
      </x:c>
      <x:c r="E1411" s="15" t="n">
        <x:v>2</x:v>
      </x:c>
      <x:c r="F1411" s="15" t="n">
        <x:v>0</x:v>
      </x:c>
      <x:c r="G1411" s="19" t="n">
        <x:v>60</x:v>
      </x:c>
      <x:c r="H1411" s="19" t="n">
        <x:v>24</x:v>
      </x:c>
      <x:c r="I1411" s="17" t="n">
        <x:v>0.1</x:v>
      </x:c>
      <x:c r="J1411" s="19" t="n">
        <x:v>2</x:v>
      </x:c>
      <x:c r="K1411" s="19" t="n">
        <x:f>E1411*G1411</x:f>
        <x:v>120</x:v>
      </x:c>
      <x:c r="L1411" s="19" t="n">
        <x:f>K1411*I1411</x:f>
        <x:v>12</x:v>
      </x:c>
      <x:c r="M1411" s="19" t="n">
        <x:f>(E1411-F1411)*G1411*(1-I1411)</x:f>
        <x:v>108</x:v>
      </x:c>
      <x:c r="N1411" s="19" t="n">
        <x:f>(E1411-F1411)*H1411</x:f>
        <x:v>48</x:v>
      </x:c>
      <x:c r="O1411" s="19" t="n">
        <x:f>F1411*J1411</x:f>
        <x:v>0</x:v>
      </x:c>
      <x:c r="P1411" s="19" t="n">
        <x:f>M1411-N1411-O1411</x:f>
        <x:v>60</x:v>
      </x:c>
    </x:row>
    <x:row r="1412">
      <x:c r="A1412" s="15" t="str">
        <x:v>SIM-1408</x:v>
      </x:c>
      <x:c r="B1412" s="15" t="str">
        <x:v>2026-06</x:v>
      </x:c>
      <x:c r="C1412" s="15" t="str">
        <x:v>Calzado</x:v>
      </x:c>
      <x:c r="D1412" s="15" t="str">
        <x:v>Tienda</x:v>
      </x:c>
      <x:c r="E1412" s="15" t="n">
        <x:v>2</x:v>
      </x:c>
      <x:c r="F1412" s="15" t="n">
        <x:v>1</x:v>
      </x:c>
      <x:c r="G1412" s="19" t="n">
        <x:v>90</x:v>
      </x:c>
      <x:c r="H1412" s="19" t="n">
        <x:v>42</x:v>
      </x:c>
      <x:c r="I1412" s="17" t="n">
        <x:v>0.3</x:v>
      </x:c>
      <x:c r="J1412" s="19" t="n">
        <x:v>2</x:v>
      </x:c>
      <x:c r="K1412" s="19" t="n">
        <x:f>E1412*G1412</x:f>
        <x:v>180</x:v>
      </x:c>
      <x:c r="L1412" s="19" t="n">
        <x:f>K1412*I1412</x:f>
        <x:v>54</x:v>
      </x:c>
      <x:c r="M1412" s="19" t="n">
        <x:f>(E1412-F1412)*G1412*(1-I1412)</x:f>
        <x:v>62.99999999999999</x:v>
      </x:c>
      <x:c r="N1412" s="19" t="n">
        <x:f>(E1412-F1412)*H1412</x:f>
        <x:v>42</x:v>
      </x:c>
      <x:c r="O1412" s="19" t="n">
        <x:f>F1412*J1412</x:f>
        <x:v>2</x:v>
      </x:c>
      <x:c r="P1412" s="19" t="n">
        <x:f>M1412-N1412-O1412</x:f>
        <x:v>18.999999999999993</x:v>
      </x:c>
    </x:row>
    <x:row r="1413">
      <x:c r="A1413" s="15" t="str">
        <x:v>SIM-1409</x:v>
      </x:c>
      <x:c r="B1413" s="15" t="str">
        <x:v>2026-06</x:v>
      </x:c>
      <x:c r="C1413" s="15" t="str">
        <x:v>Calzado</x:v>
      </x:c>
      <x:c r="D1413" s="15" t="str">
        <x:v>Tienda</x:v>
      </x:c>
      <x:c r="E1413" s="15" t="n">
        <x:v>1</x:v>
      </x:c>
      <x:c r="F1413" s="15" t="n">
        <x:v>0</x:v>
      </x:c>
      <x:c r="G1413" s="19" t="n">
        <x:v>90</x:v>
      </x:c>
      <x:c r="H1413" s="19" t="n">
        <x:v>42</x:v>
      </x:c>
      <x:c r="I1413" s="17" t="n">
        <x:v>0.1</x:v>
      </x:c>
      <x:c r="J1413" s="19" t="n">
        <x:v>2</x:v>
      </x:c>
      <x:c r="K1413" s="19" t="n">
        <x:f>E1413*G1413</x:f>
        <x:v>90</x:v>
      </x:c>
      <x:c r="L1413" s="19" t="n">
        <x:f>K1413*I1413</x:f>
        <x:v>9</x:v>
      </x:c>
      <x:c r="M1413" s="19" t="n">
        <x:f>(E1413-F1413)*G1413*(1-I1413)</x:f>
        <x:v>81</x:v>
      </x:c>
      <x:c r="N1413" s="19" t="n">
        <x:f>(E1413-F1413)*H1413</x:f>
        <x:v>42</x:v>
      </x:c>
      <x:c r="O1413" s="19" t="n">
        <x:f>F1413*J1413</x:f>
        <x:v>0</x:v>
      </x:c>
      <x:c r="P1413" s="19" t="n">
        <x:f>M1413-N1413-O1413</x:f>
        <x:v>39</x:v>
      </x:c>
    </x:row>
    <x:row r="1414">
      <x:c r="A1414" s="15" t="str">
        <x:v>SIM-1410</x:v>
      </x:c>
      <x:c r="B1414" s="15" t="str">
        <x:v>2026-06</x:v>
      </x:c>
      <x:c r="C1414" s="15" t="str">
        <x:v>Accesorios</x:v>
      </x:c>
      <x:c r="D1414" s="15" t="str">
        <x:v>Tienda</x:v>
      </x:c>
      <x:c r="E1414" s="15" t="n">
        <x:v>1</x:v>
      </x:c>
      <x:c r="F1414" s="15" t="n">
        <x:v>0</x:v>
      </x:c>
      <x:c r="G1414" s="19" t="n">
        <x:v>30</x:v>
      </x:c>
      <x:c r="H1414" s="19" t="n">
        <x:v>9</x:v>
      </x:c>
      <x:c r="I1414" s="17" t="n">
        <x:v>0.2</x:v>
      </x:c>
      <x:c r="J1414" s="19" t="n">
        <x:v>2</x:v>
      </x:c>
      <x:c r="K1414" s="19" t="n">
        <x:f>E1414*G1414</x:f>
        <x:v>30</x:v>
      </x:c>
      <x:c r="L1414" s="19" t="n">
        <x:f>K1414*I1414</x:f>
        <x:v>6</x:v>
      </x:c>
      <x:c r="M1414" s="19" t="n">
        <x:f>(E1414-F1414)*G1414*(1-I1414)</x:f>
        <x:v>24</x:v>
      </x:c>
      <x:c r="N1414" s="19" t="n">
        <x:f>(E1414-F1414)*H1414</x:f>
        <x:v>9</x:v>
      </x:c>
      <x:c r="O1414" s="19" t="n">
        <x:f>F1414*J1414</x:f>
        <x:v>0</x:v>
      </x:c>
      <x:c r="P1414" s="19" t="n">
        <x:f>M1414-N1414-O1414</x:f>
        <x:v>15</x:v>
      </x:c>
    </x:row>
    <x:row r="1415">
      <x:c r="A1415" s="15" t="str">
        <x:v>SIM-1411</x:v>
      </x:c>
      <x:c r="B1415" s="15" t="str">
        <x:v>2026-06</x:v>
      </x:c>
      <x:c r="C1415" s="15" t="str">
        <x:v>Calzado</x:v>
      </x:c>
      <x:c r="D1415" s="15" t="str">
        <x:v>Online</x:v>
      </x:c>
      <x:c r="E1415" s="15" t="n">
        <x:v>1</x:v>
      </x:c>
      <x:c r="F1415" s="15" t="n">
        <x:v>0</x:v>
      </x:c>
      <x:c r="G1415" s="19" t="n">
        <x:v>90</x:v>
      </x:c>
      <x:c r="H1415" s="19" t="n">
        <x:v>42</x:v>
      </x:c>
      <x:c r="I1415" s="17" t="n">
        <x:v>0.2</x:v>
      </x:c>
      <x:c r="J1415" s="19" t="n">
        <x:v>6</x:v>
      </x:c>
      <x:c r="K1415" s="19" t="n">
        <x:f>E1415*G1415</x:f>
        <x:v>90</x:v>
      </x:c>
      <x:c r="L1415" s="19" t="n">
        <x:f>K1415*I1415</x:f>
        <x:v>18</x:v>
      </x:c>
      <x:c r="M1415" s="19" t="n">
        <x:f>(E1415-F1415)*G1415*(1-I1415)</x:f>
        <x:v>72</x:v>
      </x:c>
      <x:c r="N1415" s="19" t="n">
        <x:f>(E1415-F1415)*H1415</x:f>
        <x:v>42</x:v>
      </x:c>
      <x:c r="O1415" s="19" t="n">
        <x:f>F1415*J1415</x:f>
        <x:v>0</x:v>
      </x:c>
      <x:c r="P1415" s="19" t="n">
        <x:f>M1415-N1415-O1415</x:f>
        <x:v>30</x:v>
      </x:c>
    </x:row>
    <x:row r="1416">
      <x:c r="A1416" s="15" t="str">
        <x:v>SIM-1412</x:v>
      </x:c>
      <x:c r="B1416" s="15" t="str">
        <x:v>2026-06</x:v>
      </x:c>
      <x:c r="C1416" s="15" t="str">
        <x:v>Calzado</x:v>
      </x:c>
      <x:c r="D1416" s="15" t="str">
        <x:v>Online</x:v>
      </x:c>
      <x:c r="E1416" s="15" t="n">
        <x:v>1</x:v>
      </x:c>
      <x:c r="F1416" s="15" t="n">
        <x:v>0</x:v>
      </x:c>
      <x:c r="G1416" s="19" t="n">
        <x:v>90</x:v>
      </x:c>
      <x:c r="H1416" s="19" t="n">
        <x:v>42</x:v>
      </x:c>
      <x:c r="I1416" s="17" t="n">
        <x:v>0.2</x:v>
      </x:c>
      <x:c r="J1416" s="19" t="n">
        <x:v>6</x:v>
      </x:c>
      <x:c r="K1416" s="19" t="n">
        <x:f>E1416*G1416</x:f>
        <x:v>90</x:v>
      </x:c>
      <x:c r="L1416" s="19" t="n">
        <x:f>K1416*I1416</x:f>
        <x:v>18</x:v>
      </x:c>
      <x:c r="M1416" s="19" t="n">
        <x:f>(E1416-F1416)*G1416*(1-I1416)</x:f>
        <x:v>72</x:v>
      </x:c>
      <x:c r="N1416" s="19" t="n">
        <x:f>(E1416-F1416)*H1416</x:f>
        <x:v>42</x:v>
      </x:c>
      <x:c r="O1416" s="19" t="n">
        <x:f>F1416*J1416</x:f>
        <x:v>0</x:v>
      </x:c>
      <x:c r="P1416" s="19" t="n">
        <x:f>M1416-N1416-O1416</x:f>
        <x:v>30</x:v>
      </x:c>
    </x:row>
    <x:row r="1417">
      <x:c r="A1417" s="15" t="str">
        <x:v>SIM-1413</x:v>
      </x:c>
      <x:c r="B1417" s="15" t="str">
        <x:v>2026-06</x:v>
      </x:c>
      <x:c r="C1417" s="15" t="str">
        <x:v>Calzado</x:v>
      </x:c>
      <x:c r="D1417" s="15" t="str">
        <x:v>Tienda</x:v>
      </x:c>
      <x:c r="E1417" s="15" t="n">
        <x:v>1</x:v>
      </x:c>
      <x:c r="F1417" s="15" t="n">
        <x:v>0</x:v>
      </x:c>
      <x:c r="G1417" s="19" t="n">
        <x:v>90</x:v>
      </x:c>
      <x:c r="H1417" s="19" t="n">
        <x:v>42</x:v>
      </x:c>
      <x:c r="I1417" s="17" t="n">
        <x:v>0.1</x:v>
      </x:c>
      <x:c r="J1417" s="19" t="n">
        <x:v>2</x:v>
      </x:c>
      <x:c r="K1417" s="19" t="n">
        <x:f>E1417*G1417</x:f>
        <x:v>90</x:v>
      </x:c>
      <x:c r="L1417" s="19" t="n">
        <x:f>K1417*I1417</x:f>
        <x:v>9</x:v>
      </x:c>
      <x:c r="M1417" s="19" t="n">
        <x:f>(E1417-F1417)*G1417*(1-I1417)</x:f>
        <x:v>81</x:v>
      </x:c>
      <x:c r="N1417" s="19" t="n">
        <x:f>(E1417-F1417)*H1417</x:f>
        <x:v>42</x:v>
      </x:c>
      <x:c r="O1417" s="19" t="n">
        <x:f>F1417*J1417</x:f>
        <x:v>0</x:v>
      </x:c>
      <x:c r="P1417" s="19" t="n">
        <x:f>M1417-N1417-O1417</x:f>
        <x:v>39</x:v>
      </x:c>
    </x:row>
    <x:row r="1418">
      <x:c r="A1418" s="15" t="str">
        <x:v>SIM-1414</x:v>
      </x:c>
      <x:c r="B1418" s="15" t="str">
        <x:v>2026-06</x:v>
      </x:c>
      <x:c r="C1418" s="15" t="str">
        <x:v>Prendas</x:v>
      </x:c>
      <x:c r="D1418" s="15" t="str">
        <x:v>Tienda</x:v>
      </x:c>
      <x:c r="E1418" s="15" t="n">
        <x:v>2</x:v>
      </x:c>
      <x:c r="F1418" s="15" t="n">
        <x:v>0</x:v>
      </x:c>
      <x:c r="G1418" s="19" t="n">
        <x:v>60</x:v>
      </x:c>
      <x:c r="H1418" s="19" t="n">
        <x:v>24</x:v>
      </x:c>
      <x:c r="I1418" s="17" t="n">
        <x:v>0</x:v>
      </x:c>
      <x:c r="J1418" s="19" t="n">
        <x:v>2</x:v>
      </x:c>
      <x:c r="K1418" s="19" t="n">
        <x:f>E1418*G1418</x:f>
        <x:v>120</x:v>
      </x:c>
      <x:c r="L1418" s="19" t="n">
        <x:f>K1418*I1418</x:f>
        <x:v>0</x:v>
      </x:c>
      <x:c r="M1418" s="19" t="n">
        <x:f>(E1418-F1418)*G1418*(1-I1418)</x:f>
        <x:v>120</x:v>
      </x:c>
      <x:c r="N1418" s="19" t="n">
        <x:f>(E1418-F1418)*H1418</x:f>
        <x:v>48</x:v>
      </x:c>
      <x:c r="O1418" s="19" t="n">
        <x:f>F1418*J1418</x:f>
        <x:v>0</x:v>
      </x:c>
      <x:c r="P1418" s="19" t="n">
        <x:f>M1418-N1418-O1418</x:f>
        <x:v>72</x:v>
      </x:c>
    </x:row>
    <x:row r="1419">
      <x:c r="A1419" s="15" t="str">
        <x:v>SIM-1415</x:v>
      </x:c>
      <x:c r="B1419" s="15" t="str">
        <x:v>2026-06</x:v>
      </x:c>
      <x:c r="C1419" s="15" t="str">
        <x:v>Prendas</x:v>
      </x:c>
      <x:c r="D1419" s="15" t="str">
        <x:v>Tienda</x:v>
      </x:c>
      <x:c r="E1419" s="15" t="n">
        <x:v>1</x:v>
      </x:c>
      <x:c r="F1419" s="15" t="n">
        <x:v>0</x:v>
      </x:c>
      <x:c r="G1419" s="19" t="n">
        <x:v>60</x:v>
      </x:c>
      <x:c r="H1419" s="19" t="n">
        <x:v>24</x:v>
      </x:c>
      <x:c r="I1419" s="17" t="n">
        <x:v>0</x:v>
      </x:c>
      <x:c r="J1419" s="19" t="n">
        <x:v>2</x:v>
      </x:c>
      <x:c r="K1419" s="19" t="n">
        <x:f>E1419*G1419</x:f>
        <x:v>60</x:v>
      </x:c>
      <x:c r="L1419" s="19" t="n">
        <x:f>K1419*I1419</x:f>
        <x:v>0</x:v>
      </x:c>
      <x:c r="M1419" s="19" t="n">
        <x:f>(E1419-F1419)*G1419*(1-I1419)</x:f>
        <x:v>60</x:v>
      </x:c>
      <x:c r="N1419" s="19" t="n">
        <x:f>(E1419-F1419)*H1419</x:f>
        <x:v>24</x:v>
      </x:c>
      <x:c r="O1419" s="19" t="n">
        <x:f>F1419*J1419</x:f>
        <x:v>0</x:v>
      </x:c>
      <x:c r="P1419" s="19" t="n">
        <x:f>M1419-N1419-O1419</x:f>
        <x:v>36</x:v>
      </x:c>
    </x:row>
    <x:row r="1420">
      <x:c r="A1420" s="15" t="str">
        <x:v>SIM-1416</x:v>
      </x:c>
      <x:c r="B1420" s="15" t="str">
        <x:v>2026-06</x:v>
      </x:c>
      <x:c r="C1420" s="15" t="str">
        <x:v>Prendas</x:v>
      </x:c>
      <x:c r="D1420" s="15" t="str">
        <x:v>Online</x:v>
      </x:c>
      <x:c r="E1420" s="15" t="n">
        <x:v>3</x:v>
      </x:c>
      <x:c r="F1420" s="15" t="n">
        <x:v>0</x:v>
      </x:c>
      <x:c r="G1420" s="19" t="n">
        <x:v>60</x:v>
      </x:c>
      <x:c r="H1420" s="19" t="n">
        <x:v>24</x:v>
      </x:c>
      <x:c r="I1420" s="17" t="n">
        <x:v>0</x:v>
      </x:c>
      <x:c r="J1420" s="19" t="n">
        <x:v>6</x:v>
      </x:c>
      <x:c r="K1420" s="19" t="n">
        <x:f>E1420*G1420</x:f>
        <x:v>180</x:v>
      </x:c>
      <x:c r="L1420" s="19" t="n">
        <x:f>K1420*I1420</x:f>
        <x:v>0</x:v>
      </x:c>
      <x:c r="M1420" s="19" t="n">
        <x:f>(E1420-F1420)*G1420*(1-I1420)</x:f>
        <x:v>180</x:v>
      </x:c>
      <x:c r="N1420" s="19" t="n">
        <x:f>(E1420-F1420)*H1420</x:f>
        <x:v>72</x:v>
      </x:c>
      <x:c r="O1420" s="19" t="n">
        <x:f>F1420*J1420</x:f>
        <x:v>0</x:v>
      </x:c>
      <x:c r="P1420" s="19" t="n">
        <x:f>M1420-N1420-O1420</x:f>
        <x:v>108</x:v>
      </x:c>
    </x:row>
    <x:row r="1421">
      <x:c r="A1421" s="15" t="str">
        <x:v>SIM-1417</x:v>
      </x:c>
      <x:c r="B1421" s="15" t="str">
        <x:v>2026-06</x:v>
      </x:c>
      <x:c r="C1421" s="15" t="str">
        <x:v>Prendas</x:v>
      </x:c>
      <x:c r="D1421" s="15" t="str">
        <x:v>Online</x:v>
      </x:c>
      <x:c r="E1421" s="15" t="n">
        <x:v>1</x:v>
      </x:c>
      <x:c r="F1421" s="15" t="n">
        <x:v>0</x:v>
      </x:c>
      <x:c r="G1421" s="19" t="n">
        <x:v>60</x:v>
      </x:c>
      <x:c r="H1421" s="19" t="n">
        <x:v>24</x:v>
      </x:c>
      <x:c r="I1421" s="17" t="n">
        <x:v>0</x:v>
      </x:c>
      <x:c r="J1421" s="19" t="n">
        <x:v>6</x:v>
      </x:c>
      <x:c r="K1421" s="19" t="n">
        <x:f>E1421*G1421</x:f>
        <x:v>60</x:v>
      </x:c>
      <x:c r="L1421" s="19" t="n">
        <x:f>K1421*I1421</x:f>
        <x:v>0</x:v>
      </x:c>
      <x:c r="M1421" s="19" t="n">
        <x:f>(E1421-F1421)*G1421*(1-I1421)</x:f>
        <x:v>60</x:v>
      </x:c>
      <x:c r="N1421" s="19" t="n">
        <x:f>(E1421-F1421)*H1421</x:f>
        <x:v>24</x:v>
      </x:c>
      <x:c r="O1421" s="19" t="n">
        <x:f>F1421*J1421</x:f>
        <x:v>0</x:v>
      </x:c>
      <x:c r="P1421" s="19" t="n">
        <x:f>M1421-N1421-O1421</x:f>
        <x:v>36</x:v>
      </x:c>
    </x:row>
    <x:row r="1422">
      <x:c r="A1422" s="15" t="str">
        <x:v>SIM-1418</x:v>
      </x:c>
      <x:c r="B1422" s="15" t="str">
        <x:v>2026-06</x:v>
      </x:c>
      <x:c r="C1422" s="15" t="str">
        <x:v>Prendas</x:v>
      </x:c>
      <x:c r="D1422" s="15" t="str">
        <x:v>Online</x:v>
      </x:c>
      <x:c r="E1422" s="15" t="n">
        <x:v>1</x:v>
      </x:c>
      <x:c r="F1422" s="15" t="n">
        <x:v>1</x:v>
      </x:c>
      <x:c r="G1422" s="19" t="n">
        <x:v>60</x:v>
      </x:c>
      <x:c r="H1422" s="19" t="n">
        <x:v>24</x:v>
      </x:c>
      <x:c r="I1422" s="17" t="n">
        <x:v>0.1</x:v>
      </x:c>
      <x:c r="J1422" s="19" t="n">
        <x:v>6</x:v>
      </x:c>
      <x:c r="K1422" s="19" t="n">
        <x:f>E1422*G1422</x:f>
        <x:v>60</x:v>
      </x:c>
      <x:c r="L1422" s="19" t="n">
        <x:f>K1422*I1422</x:f>
        <x:v>6</x:v>
      </x:c>
      <x:c r="M1422" s="19" t="n">
        <x:f>(E1422-F1422)*G1422*(1-I1422)</x:f>
        <x:v>0</x:v>
      </x:c>
      <x:c r="N1422" s="19" t="n">
        <x:f>(E1422-F1422)*H1422</x:f>
        <x:v>0</x:v>
      </x:c>
      <x:c r="O1422" s="19" t="n">
        <x:f>F1422*J1422</x:f>
        <x:v>6</x:v>
      </x:c>
      <x:c r="P1422" s="19" t="n">
        <x:f>M1422-N1422-O1422</x:f>
        <x:v>-6</x:v>
      </x:c>
    </x:row>
    <x:row r="1423">
      <x:c r="A1423" s="15" t="str">
        <x:v>SIM-1419</x:v>
      </x:c>
      <x:c r="B1423" s="15" t="str">
        <x:v>2026-06</x:v>
      </x:c>
      <x:c r="C1423" s="15" t="str">
        <x:v>Prendas</x:v>
      </x:c>
      <x:c r="D1423" s="15" t="str">
        <x:v>Online</x:v>
      </x:c>
      <x:c r="E1423" s="15" t="n">
        <x:v>1</x:v>
      </x:c>
      <x:c r="F1423" s="15" t="n">
        <x:v>0</x:v>
      </x:c>
      <x:c r="G1423" s="19" t="n">
        <x:v>60</x:v>
      </x:c>
      <x:c r="H1423" s="19" t="n">
        <x:v>24</x:v>
      </x:c>
      <x:c r="I1423" s="17" t="n">
        <x:v>0.2</x:v>
      </x:c>
      <x:c r="J1423" s="19" t="n">
        <x:v>6</x:v>
      </x:c>
      <x:c r="K1423" s="19" t="n">
        <x:f>E1423*G1423</x:f>
        <x:v>60</x:v>
      </x:c>
      <x:c r="L1423" s="19" t="n">
        <x:f>K1423*I1423</x:f>
        <x:v>12</x:v>
      </x:c>
      <x:c r="M1423" s="19" t="n">
        <x:f>(E1423-F1423)*G1423*(1-I1423)</x:f>
        <x:v>48</x:v>
      </x:c>
      <x:c r="N1423" s="19" t="n">
        <x:f>(E1423-F1423)*H1423</x:f>
        <x:v>24</x:v>
      </x:c>
      <x:c r="O1423" s="19" t="n">
        <x:f>F1423*J1423</x:f>
        <x:v>0</x:v>
      </x:c>
      <x:c r="P1423" s="19" t="n">
        <x:f>M1423-N1423-O1423</x:f>
        <x:v>24</x:v>
      </x:c>
    </x:row>
    <x:row r="1424">
      <x:c r="A1424" s="15" t="str">
        <x:v>SIM-1420</x:v>
      </x:c>
      <x:c r="B1424" s="15" t="str">
        <x:v>2026-06</x:v>
      </x:c>
      <x:c r="C1424" s="15" t="str">
        <x:v>Prendas</x:v>
      </x:c>
      <x:c r="D1424" s="15" t="str">
        <x:v>Tienda</x:v>
      </x:c>
      <x:c r="E1424" s="15" t="n">
        <x:v>1</x:v>
      </x:c>
      <x:c r="F1424" s="15" t="n">
        <x:v>1</x:v>
      </x:c>
      <x:c r="G1424" s="19" t="n">
        <x:v>60</x:v>
      </x:c>
      <x:c r="H1424" s="19" t="n">
        <x:v>24</x:v>
      </x:c>
      <x:c r="I1424" s="17" t="n">
        <x:v>0</x:v>
      </x:c>
      <x:c r="J1424" s="19" t="n">
        <x:v>2</x:v>
      </x:c>
      <x:c r="K1424" s="19" t="n">
        <x:f>E1424*G1424</x:f>
        <x:v>60</x:v>
      </x:c>
      <x:c r="L1424" s="19" t="n">
        <x:f>K1424*I1424</x:f>
        <x:v>0</x:v>
      </x:c>
      <x:c r="M1424" s="19" t="n">
        <x:f>(E1424-F1424)*G1424*(1-I1424)</x:f>
        <x:v>0</x:v>
      </x:c>
      <x:c r="N1424" s="19" t="n">
        <x:f>(E1424-F1424)*H1424</x:f>
        <x:v>0</x:v>
      </x:c>
      <x:c r="O1424" s="19" t="n">
        <x:f>F1424*J1424</x:f>
        <x:v>2</x:v>
      </x:c>
      <x:c r="P1424" s="19" t="n">
        <x:f>M1424-N1424-O1424</x:f>
        <x:v>-2</x:v>
      </x:c>
    </x:row>
    <x:row r="1425">
      <x:c r="A1425" s="15" t="str">
        <x:v>SIM-1421</x:v>
      </x:c>
      <x:c r="B1425" s="15" t="str">
        <x:v>2026-06</x:v>
      </x:c>
      <x:c r="C1425" s="15" t="str">
        <x:v>Prendas</x:v>
      </x:c>
      <x:c r="D1425" s="15" t="str">
        <x:v>Online</x:v>
      </x:c>
      <x:c r="E1425" s="15" t="n">
        <x:v>1</x:v>
      </x:c>
      <x:c r="F1425" s="15" t="n">
        <x:v>0</x:v>
      </x:c>
      <x:c r="G1425" s="19" t="n">
        <x:v>60</x:v>
      </x:c>
      <x:c r="H1425" s="19" t="n">
        <x:v>24</x:v>
      </x:c>
      <x:c r="I1425" s="17" t="n">
        <x:v>0</x:v>
      </x:c>
      <x:c r="J1425" s="19" t="n">
        <x:v>6</x:v>
      </x:c>
      <x:c r="K1425" s="19" t="n">
        <x:f>E1425*G1425</x:f>
        <x:v>60</x:v>
      </x:c>
      <x:c r="L1425" s="19" t="n">
        <x:f>K1425*I1425</x:f>
        <x:v>0</x:v>
      </x:c>
      <x:c r="M1425" s="19" t="n">
        <x:f>(E1425-F1425)*G1425*(1-I1425)</x:f>
        <x:v>60</x:v>
      </x:c>
      <x:c r="N1425" s="19" t="n">
        <x:f>(E1425-F1425)*H1425</x:f>
        <x:v>24</x:v>
      </x:c>
      <x:c r="O1425" s="19" t="n">
        <x:f>F1425*J1425</x:f>
        <x:v>0</x:v>
      </x:c>
      <x:c r="P1425" s="19" t="n">
        <x:f>M1425-N1425-O1425</x:f>
        <x:v>36</x:v>
      </x:c>
    </x:row>
    <x:row r="1426">
      <x:c r="A1426" s="15" t="str">
        <x:v>SIM-1422</x:v>
      </x:c>
      <x:c r="B1426" s="15" t="str">
        <x:v>2026-06</x:v>
      </x:c>
      <x:c r="C1426" s="15" t="str">
        <x:v>Prendas</x:v>
      </x:c>
      <x:c r="D1426" s="15" t="str">
        <x:v>Online</x:v>
      </x:c>
      <x:c r="E1426" s="15" t="n">
        <x:v>1</x:v>
      </x:c>
      <x:c r="F1426" s="15" t="n">
        <x:v>0</x:v>
      </x:c>
      <x:c r="G1426" s="19" t="n">
        <x:v>60</x:v>
      </x:c>
      <x:c r="H1426" s="19" t="n">
        <x:v>24</x:v>
      </x:c>
      <x:c r="I1426" s="17" t="n">
        <x:v>0.3</x:v>
      </x:c>
      <x:c r="J1426" s="19" t="n">
        <x:v>6</x:v>
      </x:c>
      <x:c r="K1426" s="19" t="n">
        <x:f>E1426*G1426</x:f>
        <x:v>60</x:v>
      </x:c>
      <x:c r="L1426" s="19" t="n">
        <x:f>K1426*I1426</x:f>
        <x:v>18</x:v>
      </x:c>
      <x:c r="M1426" s="19" t="n">
        <x:f>(E1426-F1426)*G1426*(1-I1426)</x:f>
        <x:v>42</x:v>
      </x:c>
      <x:c r="N1426" s="19" t="n">
        <x:f>(E1426-F1426)*H1426</x:f>
        <x:v>24</x:v>
      </x:c>
      <x:c r="O1426" s="19" t="n">
        <x:f>F1426*J1426</x:f>
        <x:v>0</x:v>
      </x:c>
      <x:c r="P1426" s="19" t="n">
        <x:f>M1426-N1426-O1426</x:f>
        <x:v>18</x:v>
      </x:c>
    </x:row>
    <x:row r="1427">
      <x:c r="A1427" s="15" t="str">
        <x:v>SIM-1423</x:v>
      </x:c>
      <x:c r="B1427" s="15" t="str">
        <x:v>2026-06</x:v>
      </x:c>
      <x:c r="C1427" s="15" t="str">
        <x:v>Prendas</x:v>
      </x:c>
      <x:c r="D1427" s="15" t="str">
        <x:v>Online</x:v>
      </x:c>
      <x:c r="E1427" s="15" t="n">
        <x:v>3</x:v>
      </x:c>
      <x:c r="F1427" s="15" t="n">
        <x:v>0</x:v>
      </x:c>
      <x:c r="G1427" s="19" t="n">
        <x:v>60</x:v>
      </x:c>
      <x:c r="H1427" s="19" t="n">
        <x:v>24</x:v>
      </x:c>
      <x:c r="I1427" s="17" t="n">
        <x:v>0.1</x:v>
      </x:c>
      <x:c r="J1427" s="19" t="n">
        <x:v>6</x:v>
      </x:c>
      <x:c r="K1427" s="19" t="n">
        <x:f>E1427*G1427</x:f>
        <x:v>180</x:v>
      </x:c>
      <x:c r="L1427" s="19" t="n">
        <x:f>K1427*I1427</x:f>
        <x:v>18</x:v>
      </x:c>
      <x:c r="M1427" s="19" t="n">
        <x:f>(E1427-F1427)*G1427*(1-I1427)</x:f>
        <x:v>162</x:v>
      </x:c>
      <x:c r="N1427" s="19" t="n">
        <x:f>(E1427-F1427)*H1427</x:f>
        <x:v>72</x:v>
      </x:c>
      <x:c r="O1427" s="19" t="n">
        <x:f>F1427*J1427</x:f>
        <x:v>0</x:v>
      </x:c>
      <x:c r="P1427" s="19" t="n">
        <x:f>M1427-N1427-O1427</x:f>
        <x:v>90</x:v>
      </x:c>
    </x:row>
    <x:row r="1428">
      <x:c r="A1428" s="15" t="str">
        <x:v>SIM-1424</x:v>
      </x:c>
      <x:c r="B1428" s="15" t="str">
        <x:v>2026-06</x:v>
      </x:c>
      <x:c r="C1428" s="15" t="str">
        <x:v>Accesorios</x:v>
      </x:c>
      <x:c r="D1428" s="15" t="str">
        <x:v>Online</x:v>
      </x:c>
      <x:c r="E1428" s="15" t="n">
        <x:v>1</x:v>
      </x:c>
      <x:c r="F1428" s="15" t="n">
        <x:v>0</x:v>
      </x:c>
      <x:c r="G1428" s="19" t="n">
        <x:v>30</x:v>
      </x:c>
      <x:c r="H1428" s="19" t="n">
        <x:v>9</x:v>
      </x:c>
      <x:c r="I1428" s="17" t="n">
        <x:v>0.3</x:v>
      </x:c>
      <x:c r="J1428" s="19" t="n">
        <x:v>6</x:v>
      </x:c>
      <x:c r="K1428" s="19" t="n">
        <x:f>E1428*G1428</x:f>
        <x:v>30</x:v>
      </x:c>
      <x:c r="L1428" s="19" t="n">
        <x:f>K1428*I1428</x:f>
        <x:v>9</x:v>
      </x:c>
      <x:c r="M1428" s="19" t="n">
        <x:f>(E1428-F1428)*G1428*(1-I1428)</x:f>
        <x:v>21</x:v>
      </x:c>
      <x:c r="N1428" s="19" t="n">
        <x:f>(E1428-F1428)*H1428</x:f>
        <x:v>9</x:v>
      </x:c>
      <x:c r="O1428" s="19" t="n">
        <x:f>F1428*J1428</x:f>
        <x:v>0</x:v>
      </x:c>
      <x:c r="P1428" s="19" t="n">
        <x:f>M1428-N1428-O1428</x:f>
        <x:v>12</x:v>
      </x:c>
    </x:row>
    <x:row r="1429">
      <x:c r="A1429" s="15" t="str">
        <x:v>SIM-1425</x:v>
      </x:c>
      <x:c r="B1429" s="15" t="str">
        <x:v>2026-06</x:v>
      </x:c>
      <x:c r="C1429" s="15" t="str">
        <x:v>Prendas</x:v>
      </x:c>
      <x:c r="D1429" s="15" t="str">
        <x:v>Online</x:v>
      </x:c>
      <x:c r="E1429" s="15" t="n">
        <x:v>2</x:v>
      </x:c>
      <x:c r="F1429" s="15" t="n">
        <x:v>0</x:v>
      </x:c>
      <x:c r="G1429" s="19" t="n">
        <x:v>60</x:v>
      </x:c>
      <x:c r="H1429" s="19" t="n">
        <x:v>24</x:v>
      </x:c>
      <x:c r="I1429" s="17" t="n">
        <x:v>0.1</x:v>
      </x:c>
      <x:c r="J1429" s="19" t="n">
        <x:v>6</x:v>
      </x:c>
      <x:c r="K1429" s="19" t="n">
        <x:f>E1429*G1429</x:f>
        <x:v>120</x:v>
      </x:c>
      <x:c r="L1429" s="19" t="n">
        <x:f>K1429*I1429</x:f>
        <x:v>12</x:v>
      </x:c>
      <x:c r="M1429" s="19" t="n">
        <x:f>(E1429-F1429)*G1429*(1-I1429)</x:f>
        <x:v>108</x:v>
      </x:c>
      <x:c r="N1429" s="19" t="n">
        <x:f>(E1429-F1429)*H1429</x:f>
        <x:v>48</x:v>
      </x:c>
      <x:c r="O1429" s="19" t="n">
        <x:f>F1429*J1429</x:f>
        <x:v>0</x:v>
      </x:c>
      <x:c r="P1429" s="19" t="n">
        <x:f>M1429-N1429-O1429</x:f>
        <x:v>60</x:v>
      </x:c>
    </x:row>
    <x:row r="1430">
      <x:c r="A1430" s="15" t="str">
        <x:v>SIM-1426</x:v>
      </x:c>
      <x:c r="B1430" s="15" t="str">
        <x:v>2026-06</x:v>
      </x:c>
      <x:c r="C1430" s="15" t="str">
        <x:v>Accesorios</x:v>
      </x:c>
      <x:c r="D1430" s="15" t="str">
        <x:v>Online</x:v>
      </x:c>
      <x:c r="E1430" s="15" t="n">
        <x:v>2</x:v>
      </x:c>
      <x:c r="F1430" s="15" t="n">
        <x:v>0</x:v>
      </x:c>
      <x:c r="G1430" s="19" t="n">
        <x:v>30</x:v>
      </x:c>
      <x:c r="H1430" s="19" t="n">
        <x:v>9</x:v>
      </x:c>
      <x:c r="I1430" s="17" t="n">
        <x:v>0.3</x:v>
      </x:c>
      <x:c r="J1430" s="19" t="n">
        <x:v>6</x:v>
      </x:c>
      <x:c r="K1430" s="19" t="n">
        <x:f>E1430*G1430</x:f>
        <x:v>60</x:v>
      </x:c>
      <x:c r="L1430" s="19" t="n">
        <x:f>K1430*I1430</x:f>
        <x:v>18</x:v>
      </x:c>
      <x:c r="M1430" s="19" t="n">
        <x:f>(E1430-F1430)*G1430*(1-I1430)</x:f>
        <x:v>42</x:v>
      </x:c>
      <x:c r="N1430" s="19" t="n">
        <x:f>(E1430-F1430)*H1430</x:f>
        <x:v>18</x:v>
      </x:c>
      <x:c r="O1430" s="19" t="n">
        <x:f>F1430*J1430</x:f>
        <x:v>0</x:v>
      </x:c>
      <x:c r="P1430" s="19" t="n">
        <x:f>M1430-N1430-O1430</x:f>
        <x:v>24</x:v>
      </x:c>
    </x:row>
    <x:row r="1431">
      <x:c r="A1431" s="15" t="str">
        <x:v>SIM-1427</x:v>
      </x:c>
      <x:c r="B1431" s="15" t="str">
        <x:v>2026-06</x:v>
      </x:c>
      <x:c r="C1431" s="15" t="str">
        <x:v>Prendas</x:v>
      </x:c>
      <x:c r="D1431" s="15" t="str">
        <x:v>Online</x:v>
      </x:c>
      <x:c r="E1431" s="15" t="n">
        <x:v>1</x:v>
      </x:c>
      <x:c r="F1431" s="15" t="n">
        <x:v>0</x:v>
      </x:c>
      <x:c r="G1431" s="19" t="n">
        <x:v>60</x:v>
      </x:c>
      <x:c r="H1431" s="19" t="n">
        <x:v>24</x:v>
      </x:c>
      <x:c r="I1431" s="17" t="n">
        <x:v>0.1</x:v>
      </x:c>
      <x:c r="J1431" s="19" t="n">
        <x:v>6</x:v>
      </x:c>
      <x:c r="K1431" s="19" t="n">
        <x:f>E1431*G1431</x:f>
        <x:v>60</x:v>
      </x:c>
      <x:c r="L1431" s="19" t="n">
        <x:f>K1431*I1431</x:f>
        <x:v>6</x:v>
      </x:c>
      <x:c r="M1431" s="19" t="n">
        <x:f>(E1431-F1431)*G1431*(1-I1431)</x:f>
        <x:v>54</x:v>
      </x:c>
      <x:c r="N1431" s="19" t="n">
        <x:f>(E1431-F1431)*H1431</x:f>
        <x:v>24</x:v>
      </x:c>
      <x:c r="O1431" s="19" t="n">
        <x:f>F1431*J1431</x:f>
        <x:v>0</x:v>
      </x:c>
      <x:c r="P1431" s="19" t="n">
        <x:f>M1431-N1431-O1431</x:f>
        <x:v>30</x:v>
      </x:c>
    </x:row>
    <x:row r="1432">
      <x:c r="A1432" s="15" t="str">
        <x:v>SIM-1428</x:v>
      </x:c>
      <x:c r="B1432" s="15" t="str">
        <x:v>2026-06</x:v>
      </x:c>
      <x:c r="C1432" s="15" t="str">
        <x:v>Accesorios</x:v>
      </x:c>
      <x:c r="D1432" s="15" t="str">
        <x:v>Tienda</x:v>
      </x:c>
      <x:c r="E1432" s="15" t="n">
        <x:v>1</x:v>
      </x:c>
      <x:c r="F1432" s="15" t="n">
        <x:v>0</x:v>
      </x:c>
      <x:c r="G1432" s="19" t="n">
        <x:v>30</x:v>
      </x:c>
      <x:c r="H1432" s="19" t="n">
        <x:v>9</x:v>
      </x:c>
      <x:c r="I1432" s="17" t="n">
        <x:v>0.3</x:v>
      </x:c>
      <x:c r="J1432" s="19" t="n">
        <x:v>2</x:v>
      </x:c>
      <x:c r="K1432" s="19" t="n">
        <x:f>E1432*G1432</x:f>
        <x:v>30</x:v>
      </x:c>
      <x:c r="L1432" s="19" t="n">
        <x:f>K1432*I1432</x:f>
        <x:v>9</x:v>
      </x:c>
      <x:c r="M1432" s="19" t="n">
        <x:f>(E1432-F1432)*G1432*(1-I1432)</x:f>
        <x:v>21</x:v>
      </x:c>
      <x:c r="N1432" s="19" t="n">
        <x:f>(E1432-F1432)*H1432</x:f>
        <x:v>9</x:v>
      </x:c>
      <x:c r="O1432" s="19" t="n">
        <x:f>F1432*J1432</x:f>
        <x:v>0</x:v>
      </x:c>
      <x:c r="P1432" s="19" t="n">
        <x:f>M1432-N1432-O1432</x:f>
        <x:v>12</x:v>
      </x:c>
    </x:row>
    <x:row r="1433">
      <x:c r="A1433" s="15" t="str">
        <x:v>SIM-1429</x:v>
      </x:c>
      <x:c r="B1433" s="15" t="str">
        <x:v>2026-06</x:v>
      </x:c>
      <x:c r="C1433" s="15" t="str">
        <x:v>Calzado</x:v>
      </x:c>
      <x:c r="D1433" s="15" t="str">
        <x:v>Online</x:v>
      </x:c>
      <x:c r="E1433" s="15" t="n">
        <x:v>1</x:v>
      </x:c>
      <x:c r="F1433" s="15" t="n">
        <x:v>1</x:v>
      </x:c>
      <x:c r="G1433" s="19" t="n">
        <x:v>90</x:v>
      </x:c>
      <x:c r="H1433" s="19" t="n">
        <x:v>42</x:v>
      </x:c>
      <x:c r="I1433" s="17" t="n">
        <x:v>0</x:v>
      </x:c>
      <x:c r="J1433" s="19" t="n">
        <x:v>6</x:v>
      </x:c>
      <x:c r="K1433" s="19" t="n">
        <x:f>E1433*G1433</x:f>
        <x:v>90</x:v>
      </x:c>
      <x:c r="L1433" s="19" t="n">
        <x:f>K1433*I1433</x:f>
        <x:v>0</x:v>
      </x:c>
      <x:c r="M1433" s="19" t="n">
        <x:f>(E1433-F1433)*G1433*(1-I1433)</x:f>
        <x:v>0</x:v>
      </x:c>
      <x:c r="N1433" s="19" t="n">
        <x:f>(E1433-F1433)*H1433</x:f>
        <x:v>0</x:v>
      </x:c>
      <x:c r="O1433" s="19" t="n">
        <x:f>F1433*J1433</x:f>
        <x:v>6</x:v>
      </x:c>
      <x:c r="P1433" s="19" t="n">
        <x:f>M1433-N1433-O1433</x:f>
        <x:v>-6</x:v>
      </x:c>
    </x:row>
    <x:row r="1434">
      <x:c r="A1434" s="15" t="str">
        <x:v>SIM-1430</x:v>
      </x:c>
      <x:c r="B1434" s="15" t="str">
        <x:v>2026-06</x:v>
      </x:c>
      <x:c r="C1434" s="15" t="str">
        <x:v>Accesorios</x:v>
      </x:c>
      <x:c r="D1434" s="15" t="str">
        <x:v>Tienda</x:v>
      </x:c>
      <x:c r="E1434" s="15" t="n">
        <x:v>1</x:v>
      </x:c>
      <x:c r="F1434" s="15" t="n">
        <x:v>0</x:v>
      </x:c>
      <x:c r="G1434" s="19" t="n">
        <x:v>30</x:v>
      </x:c>
      <x:c r="H1434" s="19" t="n">
        <x:v>9</x:v>
      </x:c>
      <x:c r="I1434" s="17" t="n">
        <x:v>0.3</x:v>
      </x:c>
      <x:c r="J1434" s="19" t="n">
        <x:v>2</x:v>
      </x:c>
      <x:c r="K1434" s="19" t="n">
        <x:f>E1434*G1434</x:f>
        <x:v>30</x:v>
      </x:c>
      <x:c r="L1434" s="19" t="n">
        <x:f>K1434*I1434</x:f>
        <x:v>9</x:v>
      </x:c>
      <x:c r="M1434" s="19" t="n">
        <x:f>(E1434-F1434)*G1434*(1-I1434)</x:f>
        <x:v>21</x:v>
      </x:c>
      <x:c r="N1434" s="19" t="n">
        <x:f>(E1434-F1434)*H1434</x:f>
        <x:v>9</x:v>
      </x:c>
      <x:c r="O1434" s="19" t="n">
        <x:f>F1434*J1434</x:f>
        <x:v>0</x:v>
      </x:c>
      <x:c r="P1434" s="19" t="n">
        <x:f>M1434-N1434-O1434</x:f>
        <x:v>12</x:v>
      </x:c>
    </x:row>
    <x:row r="1435">
      <x:c r="A1435" s="15" t="str">
        <x:v>SIM-1431</x:v>
      </x:c>
      <x:c r="B1435" s="15" t="str">
        <x:v>2026-06</x:v>
      </x:c>
      <x:c r="C1435" s="15" t="str">
        <x:v>Calzado</x:v>
      </x:c>
      <x:c r="D1435" s="15" t="str">
        <x:v>Online</x:v>
      </x:c>
      <x:c r="E1435" s="15" t="n">
        <x:v>1</x:v>
      </x:c>
      <x:c r="F1435" s="15" t="n">
        <x:v>0</x:v>
      </x:c>
      <x:c r="G1435" s="19" t="n">
        <x:v>90</x:v>
      </x:c>
      <x:c r="H1435" s="19" t="n">
        <x:v>42</x:v>
      </x:c>
      <x:c r="I1435" s="17" t="n">
        <x:v>0.2</x:v>
      </x:c>
      <x:c r="J1435" s="19" t="n">
        <x:v>6</x:v>
      </x:c>
      <x:c r="K1435" s="19" t="n">
        <x:f>E1435*G1435</x:f>
        <x:v>90</x:v>
      </x:c>
      <x:c r="L1435" s="19" t="n">
        <x:f>K1435*I1435</x:f>
        <x:v>18</x:v>
      </x:c>
      <x:c r="M1435" s="19" t="n">
        <x:f>(E1435-F1435)*G1435*(1-I1435)</x:f>
        <x:v>72</x:v>
      </x:c>
      <x:c r="N1435" s="19" t="n">
        <x:f>(E1435-F1435)*H1435</x:f>
        <x:v>42</x:v>
      </x:c>
      <x:c r="O1435" s="19" t="n">
        <x:f>F1435*J1435</x:f>
        <x:v>0</x:v>
      </x:c>
      <x:c r="P1435" s="19" t="n">
        <x:f>M1435-N1435-O1435</x:f>
        <x:v>30</x:v>
      </x:c>
    </x:row>
    <x:row r="1436">
      <x:c r="A1436" s="15" t="str">
        <x:v>SIM-1432</x:v>
      </x:c>
      <x:c r="B1436" s="15" t="str">
        <x:v>2026-06</x:v>
      </x:c>
      <x:c r="C1436" s="15" t="str">
        <x:v>Calzado</x:v>
      </x:c>
      <x:c r="D1436" s="15" t="str">
        <x:v>Tienda</x:v>
      </x:c>
      <x:c r="E1436" s="15" t="n">
        <x:v>1</x:v>
      </x:c>
      <x:c r="F1436" s="15" t="n">
        <x:v>0</x:v>
      </x:c>
      <x:c r="G1436" s="19" t="n">
        <x:v>90</x:v>
      </x:c>
      <x:c r="H1436" s="19" t="n">
        <x:v>42</x:v>
      </x:c>
      <x:c r="I1436" s="17" t="n">
        <x:v>0.3</x:v>
      </x:c>
      <x:c r="J1436" s="19" t="n">
        <x:v>2</x:v>
      </x:c>
      <x:c r="K1436" s="19" t="n">
        <x:f>E1436*G1436</x:f>
        <x:v>90</x:v>
      </x:c>
      <x:c r="L1436" s="19" t="n">
        <x:f>K1436*I1436</x:f>
        <x:v>27</x:v>
      </x:c>
      <x:c r="M1436" s="19" t="n">
        <x:f>(E1436-F1436)*G1436*(1-I1436)</x:f>
        <x:v>62.99999999999999</x:v>
      </x:c>
      <x:c r="N1436" s="19" t="n">
        <x:f>(E1436-F1436)*H1436</x:f>
        <x:v>42</x:v>
      </x:c>
      <x:c r="O1436" s="19" t="n">
        <x:f>F1436*J1436</x:f>
        <x:v>0</x:v>
      </x:c>
      <x:c r="P1436" s="19" t="n">
        <x:f>M1436-N1436-O1436</x:f>
        <x:v>20.999999999999993</x:v>
      </x:c>
    </x:row>
    <x:row r="1437">
      <x:c r="A1437" s="15" t="str">
        <x:v>SIM-1433</x:v>
      </x:c>
      <x:c r="B1437" s="15" t="str">
        <x:v>2026-06</x:v>
      </x:c>
      <x:c r="C1437" s="15" t="str">
        <x:v>Prendas</x:v>
      </x:c>
      <x:c r="D1437" s="15" t="str">
        <x:v>Online</x:v>
      </x:c>
      <x:c r="E1437" s="15" t="n">
        <x:v>1</x:v>
      </x:c>
      <x:c r="F1437" s="15" t="n">
        <x:v>0</x:v>
      </x:c>
      <x:c r="G1437" s="19" t="n">
        <x:v>60</x:v>
      </x:c>
      <x:c r="H1437" s="19" t="n">
        <x:v>24</x:v>
      </x:c>
      <x:c r="I1437" s="17" t="n">
        <x:v>0.3</x:v>
      </x:c>
      <x:c r="J1437" s="19" t="n">
        <x:v>6</x:v>
      </x:c>
      <x:c r="K1437" s="19" t="n">
        <x:f>E1437*G1437</x:f>
        <x:v>60</x:v>
      </x:c>
      <x:c r="L1437" s="19" t="n">
        <x:f>K1437*I1437</x:f>
        <x:v>18</x:v>
      </x:c>
      <x:c r="M1437" s="19" t="n">
        <x:f>(E1437-F1437)*G1437*(1-I1437)</x:f>
        <x:v>42</x:v>
      </x:c>
      <x:c r="N1437" s="19" t="n">
        <x:f>(E1437-F1437)*H1437</x:f>
        <x:v>24</x:v>
      </x:c>
      <x:c r="O1437" s="19" t="n">
        <x:f>F1437*J1437</x:f>
        <x:v>0</x:v>
      </x:c>
      <x:c r="P1437" s="19" t="n">
        <x:f>M1437-N1437-O1437</x:f>
        <x:v>18</x:v>
      </x:c>
    </x:row>
    <x:row r="1438">
      <x:c r="A1438" s="15" t="str">
        <x:v>SIM-1434</x:v>
      </x:c>
      <x:c r="B1438" s="15" t="str">
        <x:v>2026-06</x:v>
      </x:c>
      <x:c r="C1438" s="15" t="str">
        <x:v>Accesorios</x:v>
      </x:c>
      <x:c r="D1438" s="15" t="str">
        <x:v>Tienda</x:v>
      </x:c>
      <x:c r="E1438" s="15" t="n">
        <x:v>1</x:v>
      </x:c>
      <x:c r="F1438" s="15" t="n">
        <x:v>0</x:v>
      </x:c>
      <x:c r="G1438" s="19" t="n">
        <x:v>30</x:v>
      </x:c>
      <x:c r="H1438" s="19" t="n">
        <x:v>9</x:v>
      </x:c>
      <x:c r="I1438" s="17" t="n">
        <x:v>0</x:v>
      </x:c>
      <x:c r="J1438" s="19" t="n">
        <x:v>2</x:v>
      </x:c>
      <x:c r="K1438" s="19" t="n">
        <x:f>E1438*G1438</x:f>
        <x:v>30</x:v>
      </x:c>
      <x:c r="L1438" s="19" t="n">
        <x:f>K1438*I1438</x:f>
        <x:v>0</x:v>
      </x:c>
      <x:c r="M1438" s="19" t="n">
        <x:f>(E1438-F1438)*G1438*(1-I1438)</x:f>
        <x:v>30</x:v>
      </x:c>
      <x:c r="N1438" s="19" t="n">
        <x:f>(E1438-F1438)*H1438</x:f>
        <x:v>9</x:v>
      </x:c>
      <x:c r="O1438" s="19" t="n">
        <x:f>F1438*J1438</x:f>
        <x:v>0</x:v>
      </x:c>
      <x:c r="P1438" s="19" t="n">
        <x:f>M1438-N1438-O1438</x:f>
        <x:v>21</x:v>
      </x:c>
    </x:row>
    <x:row r="1439">
      <x:c r="A1439" s="15" t="str">
        <x:v>SIM-1435</x:v>
      </x:c>
      <x:c r="B1439" s="15" t="str">
        <x:v>2026-06</x:v>
      </x:c>
      <x:c r="C1439" s="15" t="str">
        <x:v>Calzado</x:v>
      </x:c>
      <x:c r="D1439" s="15" t="str">
        <x:v>Online</x:v>
      </x:c>
      <x:c r="E1439" s="15" t="n">
        <x:v>1</x:v>
      </x:c>
      <x:c r="F1439" s="15" t="n">
        <x:v>0</x:v>
      </x:c>
      <x:c r="G1439" s="19" t="n">
        <x:v>90</x:v>
      </x:c>
      <x:c r="H1439" s="19" t="n">
        <x:v>42</x:v>
      </x:c>
      <x:c r="I1439" s="17" t="n">
        <x:v>0.1</x:v>
      </x:c>
      <x:c r="J1439" s="19" t="n">
        <x:v>6</x:v>
      </x:c>
      <x:c r="K1439" s="19" t="n">
        <x:f>E1439*G1439</x:f>
        <x:v>90</x:v>
      </x:c>
      <x:c r="L1439" s="19" t="n">
        <x:f>K1439*I1439</x:f>
        <x:v>9</x:v>
      </x:c>
      <x:c r="M1439" s="19" t="n">
        <x:f>(E1439-F1439)*G1439*(1-I1439)</x:f>
        <x:v>81</x:v>
      </x:c>
      <x:c r="N1439" s="19" t="n">
        <x:f>(E1439-F1439)*H1439</x:f>
        <x:v>42</x:v>
      </x:c>
      <x:c r="O1439" s="19" t="n">
        <x:f>F1439*J1439</x:f>
        <x:v>0</x:v>
      </x:c>
      <x:c r="P1439" s="19" t="n">
        <x:f>M1439-N1439-O1439</x:f>
        <x:v>39</x:v>
      </x:c>
    </x:row>
    <x:row r="1440">
      <x:c r="A1440" s="15" t="str">
        <x:v>SIM-1436</x:v>
      </x:c>
      <x:c r="B1440" s="15" t="str">
        <x:v>2026-06</x:v>
      </x:c>
      <x:c r="C1440" s="15" t="str">
        <x:v>Calzado</x:v>
      </x:c>
      <x:c r="D1440" s="15" t="str">
        <x:v>Tienda</x:v>
      </x:c>
      <x:c r="E1440" s="15" t="n">
        <x:v>1</x:v>
      </x:c>
      <x:c r="F1440" s="15" t="n">
        <x:v>0</x:v>
      </x:c>
      <x:c r="G1440" s="19" t="n">
        <x:v>90</x:v>
      </x:c>
      <x:c r="H1440" s="19" t="n">
        <x:v>42</x:v>
      </x:c>
      <x:c r="I1440" s="17" t="n">
        <x:v>0.2</x:v>
      </x:c>
      <x:c r="J1440" s="19" t="n">
        <x:v>2</x:v>
      </x:c>
      <x:c r="K1440" s="19" t="n">
        <x:f>E1440*G1440</x:f>
        <x:v>90</x:v>
      </x:c>
      <x:c r="L1440" s="19" t="n">
        <x:f>K1440*I1440</x:f>
        <x:v>18</x:v>
      </x:c>
      <x:c r="M1440" s="19" t="n">
        <x:f>(E1440-F1440)*G1440*(1-I1440)</x:f>
        <x:v>72</x:v>
      </x:c>
      <x:c r="N1440" s="19" t="n">
        <x:f>(E1440-F1440)*H1440</x:f>
        <x:v>42</x:v>
      </x:c>
      <x:c r="O1440" s="19" t="n">
        <x:f>F1440*J1440</x:f>
        <x:v>0</x:v>
      </x:c>
      <x:c r="P1440" s="19" t="n">
        <x:f>M1440-N1440-O1440</x:f>
        <x:v>30</x:v>
      </x:c>
    </x:row>
    <x:row r="1441">
      <x:c r="A1441" s="15" t="str">
        <x:v>SIM-1437</x:v>
      </x:c>
      <x:c r="B1441" s="15" t="str">
        <x:v>2026-06</x:v>
      </x:c>
      <x:c r="C1441" s="15" t="str">
        <x:v>Prendas</x:v>
      </x:c>
      <x:c r="D1441" s="15" t="str">
        <x:v>Tienda</x:v>
      </x:c>
      <x:c r="E1441" s="15" t="n">
        <x:v>2</x:v>
      </x:c>
      <x:c r="F1441" s="15" t="n">
        <x:v>0</x:v>
      </x:c>
      <x:c r="G1441" s="19" t="n">
        <x:v>60</x:v>
      </x:c>
      <x:c r="H1441" s="19" t="n">
        <x:v>24</x:v>
      </x:c>
      <x:c r="I1441" s="17" t="n">
        <x:v>0</x:v>
      </x:c>
      <x:c r="J1441" s="19" t="n">
        <x:v>2</x:v>
      </x:c>
      <x:c r="K1441" s="19" t="n">
        <x:f>E1441*G1441</x:f>
        <x:v>120</x:v>
      </x:c>
      <x:c r="L1441" s="19" t="n">
        <x:f>K1441*I1441</x:f>
        <x:v>0</x:v>
      </x:c>
      <x:c r="M1441" s="19" t="n">
        <x:f>(E1441-F1441)*G1441*(1-I1441)</x:f>
        <x:v>120</x:v>
      </x:c>
      <x:c r="N1441" s="19" t="n">
        <x:f>(E1441-F1441)*H1441</x:f>
        <x:v>48</x:v>
      </x:c>
      <x:c r="O1441" s="19" t="n">
        <x:f>F1441*J1441</x:f>
        <x:v>0</x:v>
      </x:c>
      <x:c r="P1441" s="19" t="n">
        <x:f>M1441-N1441-O1441</x:f>
        <x:v>72</x:v>
      </x:c>
    </x:row>
    <x:row r="1442">
      <x:c r="A1442" s="15" t="str">
        <x:v>SIM-1438</x:v>
      </x:c>
      <x:c r="B1442" s="15" t="str">
        <x:v>2026-06</x:v>
      </x:c>
      <x:c r="C1442" s="15" t="str">
        <x:v>Calzado</x:v>
      </x:c>
      <x:c r="D1442" s="15" t="str">
        <x:v>Tienda</x:v>
      </x:c>
      <x:c r="E1442" s="15" t="n">
        <x:v>1</x:v>
      </x:c>
      <x:c r="F1442" s="15" t="n">
        <x:v>0</x:v>
      </x:c>
      <x:c r="G1442" s="19" t="n">
        <x:v>90</x:v>
      </x:c>
      <x:c r="H1442" s="19" t="n">
        <x:v>42</x:v>
      </x:c>
      <x:c r="I1442" s="17" t="n">
        <x:v>0</x:v>
      </x:c>
      <x:c r="J1442" s="19" t="n">
        <x:v>2</x:v>
      </x:c>
      <x:c r="K1442" s="19" t="n">
        <x:f>E1442*G1442</x:f>
        <x:v>90</x:v>
      </x:c>
      <x:c r="L1442" s="19" t="n">
        <x:f>K1442*I1442</x:f>
        <x:v>0</x:v>
      </x:c>
      <x:c r="M1442" s="19" t="n">
        <x:f>(E1442-F1442)*G1442*(1-I1442)</x:f>
        <x:v>90</x:v>
      </x:c>
      <x:c r="N1442" s="19" t="n">
        <x:f>(E1442-F1442)*H1442</x:f>
        <x:v>42</x:v>
      </x:c>
      <x:c r="O1442" s="19" t="n">
        <x:f>F1442*J1442</x:f>
        <x:v>0</x:v>
      </x:c>
      <x:c r="P1442" s="19" t="n">
        <x:f>M1442-N1442-O1442</x:f>
        <x:v>48</x:v>
      </x:c>
    </x:row>
    <x:row r="1443">
      <x:c r="A1443" s="15" t="str">
        <x:v>SIM-1439</x:v>
      </x:c>
      <x:c r="B1443" s="15" t="str">
        <x:v>2026-06</x:v>
      </x:c>
      <x:c r="C1443" s="15" t="str">
        <x:v>Calzado</x:v>
      </x:c>
      <x:c r="D1443" s="15" t="str">
        <x:v>Tienda</x:v>
      </x:c>
      <x:c r="E1443" s="15" t="n">
        <x:v>2</x:v>
      </x:c>
      <x:c r="F1443" s="15" t="n">
        <x:v>0</x:v>
      </x:c>
      <x:c r="G1443" s="19" t="n">
        <x:v>90</x:v>
      </x:c>
      <x:c r="H1443" s="19" t="n">
        <x:v>42</x:v>
      </x:c>
      <x:c r="I1443" s="17" t="n">
        <x:v>0.3</x:v>
      </x:c>
      <x:c r="J1443" s="19" t="n">
        <x:v>2</x:v>
      </x:c>
      <x:c r="K1443" s="19" t="n">
        <x:f>E1443*G1443</x:f>
        <x:v>180</x:v>
      </x:c>
      <x:c r="L1443" s="19" t="n">
        <x:f>K1443*I1443</x:f>
        <x:v>54</x:v>
      </x:c>
      <x:c r="M1443" s="19" t="n">
        <x:f>(E1443-F1443)*G1443*(1-I1443)</x:f>
        <x:v>125.99999999999999</x:v>
      </x:c>
      <x:c r="N1443" s="19" t="n">
        <x:f>(E1443-F1443)*H1443</x:f>
        <x:v>84</x:v>
      </x:c>
      <x:c r="O1443" s="19" t="n">
        <x:f>F1443*J1443</x:f>
        <x:v>0</x:v>
      </x:c>
      <x:c r="P1443" s="19" t="n">
        <x:f>M1443-N1443-O1443</x:f>
        <x:v>41.999999999999986</x:v>
      </x:c>
    </x:row>
    <x:row r="1444">
      <x:c r="A1444" s="15" t="str">
        <x:v>SIM-1440</x:v>
      </x:c>
      <x:c r="B1444" s="15" t="str">
        <x:v>2026-06</x:v>
      </x:c>
      <x:c r="C1444" s="15" t="str">
        <x:v>Calzado</x:v>
      </x:c>
      <x:c r="D1444" s="15" t="str">
        <x:v>Online</x:v>
      </x:c>
      <x:c r="E1444" s="15" t="n">
        <x:v>2</x:v>
      </x:c>
      <x:c r="F1444" s="15" t="n">
        <x:v>0</x:v>
      </x:c>
      <x:c r="G1444" s="19" t="n">
        <x:v>90</x:v>
      </x:c>
      <x:c r="H1444" s="19" t="n">
        <x:v>42</x:v>
      </x:c>
      <x:c r="I1444" s="17" t="n">
        <x:v>0.2</x:v>
      </x:c>
      <x:c r="J1444" s="19" t="n">
        <x:v>6</x:v>
      </x:c>
      <x:c r="K1444" s="19" t="n">
        <x:f>E1444*G1444</x:f>
        <x:v>180</x:v>
      </x:c>
      <x:c r="L1444" s="19" t="n">
        <x:f>K1444*I1444</x:f>
        <x:v>36</x:v>
      </x:c>
      <x:c r="M1444" s="19" t="n">
        <x:f>(E1444-F1444)*G1444*(1-I1444)</x:f>
        <x:v>144</x:v>
      </x:c>
      <x:c r="N1444" s="19" t="n">
        <x:f>(E1444-F1444)*H1444</x:f>
        <x:v>84</x:v>
      </x:c>
      <x:c r="O1444" s="19" t="n">
        <x:f>F1444*J1444</x:f>
        <x:v>0</x:v>
      </x:c>
      <x:c r="P1444" s="19" t="n">
        <x:f>M1444-N1444-O1444</x:f>
        <x:v>60</x:v>
      </x:c>
    </x:row>
    <x:row r="1445">
      <x:c r="A1445" s="15" t="str">
        <x:v>SIM-1441</x:v>
      </x:c>
      <x:c r="B1445" s="15" t="str">
        <x:v>2026-06</x:v>
      </x:c>
      <x:c r="C1445" s="15" t="str">
        <x:v>Accesorios</x:v>
      </x:c>
      <x:c r="D1445" s="15" t="str">
        <x:v>Online</x:v>
      </x:c>
      <x:c r="E1445" s="15" t="n">
        <x:v>1</x:v>
      </x:c>
      <x:c r="F1445" s="15" t="n">
        <x:v>0</x:v>
      </x:c>
      <x:c r="G1445" s="19" t="n">
        <x:v>30</x:v>
      </x:c>
      <x:c r="H1445" s="19" t="n">
        <x:v>9</x:v>
      </x:c>
      <x:c r="I1445" s="17" t="n">
        <x:v>0</x:v>
      </x:c>
      <x:c r="J1445" s="19" t="n">
        <x:v>6</x:v>
      </x:c>
      <x:c r="K1445" s="19" t="n">
        <x:f>E1445*G1445</x:f>
        <x:v>30</x:v>
      </x:c>
      <x:c r="L1445" s="19" t="n">
        <x:f>K1445*I1445</x:f>
        <x:v>0</x:v>
      </x:c>
      <x:c r="M1445" s="19" t="n">
        <x:f>(E1445-F1445)*G1445*(1-I1445)</x:f>
        <x:v>30</x:v>
      </x:c>
      <x:c r="N1445" s="19" t="n">
        <x:f>(E1445-F1445)*H1445</x:f>
        <x:v>9</x:v>
      </x:c>
      <x:c r="O1445" s="19" t="n">
        <x:f>F1445*J1445</x:f>
        <x:v>0</x:v>
      </x:c>
      <x:c r="P1445" s="19" t="n">
        <x:f>M1445-N1445-O1445</x:f>
        <x:v>21</x:v>
      </x:c>
    </x:row>
    <x:row r="1446">
      <x:c r="A1446" s="15" t="str">
        <x:v>SIM-1442</x:v>
      </x:c>
      <x:c r="B1446" s="15" t="str">
        <x:v>2026-06</x:v>
      </x:c>
      <x:c r="C1446" s="15" t="str">
        <x:v>Prendas</x:v>
      </x:c>
      <x:c r="D1446" s="15" t="str">
        <x:v>Online</x:v>
      </x:c>
      <x:c r="E1446" s="15" t="n">
        <x:v>2</x:v>
      </x:c>
      <x:c r="F1446" s="15" t="n">
        <x:v>1</x:v>
      </x:c>
      <x:c r="G1446" s="19" t="n">
        <x:v>60</x:v>
      </x:c>
      <x:c r="H1446" s="19" t="n">
        <x:v>24</x:v>
      </x:c>
      <x:c r="I1446" s="17" t="n">
        <x:v>0.2</x:v>
      </x:c>
      <x:c r="J1446" s="19" t="n">
        <x:v>6</x:v>
      </x:c>
      <x:c r="K1446" s="19" t="n">
        <x:f>E1446*G1446</x:f>
        <x:v>120</x:v>
      </x:c>
      <x:c r="L1446" s="19" t="n">
        <x:f>K1446*I1446</x:f>
        <x:v>24</x:v>
      </x:c>
      <x:c r="M1446" s="19" t="n">
        <x:f>(E1446-F1446)*G1446*(1-I1446)</x:f>
        <x:v>48</x:v>
      </x:c>
      <x:c r="N1446" s="19" t="n">
        <x:f>(E1446-F1446)*H1446</x:f>
        <x:v>24</x:v>
      </x:c>
      <x:c r="O1446" s="19" t="n">
        <x:f>F1446*J1446</x:f>
        <x:v>6</x:v>
      </x:c>
      <x:c r="P1446" s="19" t="n">
        <x:f>M1446-N1446-O1446</x:f>
        <x:v>18</x:v>
      </x:c>
    </x:row>
    <x:row r="1447">
      <x:c r="A1447" s="15" t="str">
        <x:v>SIM-1443</x:v>
      </x:c>
      <x:c r="B1447" s="15" t="str">
        <x:v>2026-06</x:v>
      </x:c>
      <x:c r="C1447" s="15" t="str">
        <x:v>Accesorios</x:v>
      </x:c>
      <x:c r="D1447" s="15" t="str">
        <x:v>Online</x:v>
      </x:c>
      <x:c r="E1447" s="15" t="n">
        <x:v>2</x:v>
      </x:c>
      <x:c r="F1447" s="15" t="n">
        <x:v>0</x:v>
      </x:c>
      <x:c r="G1447" s="19" t="n">
        <x:v>30</x:v>
      </x:c>
      <x:c r="H1447" s="19" t="n">
        <x:v>9</x:v>
      </x:c>
      <x:c r="I1447" s="17" t="n">
        <x:v>0.2</x:v>
      </x:c>
      <x:c r="J1447" s="19" t="n">
        <x:v>6</x:v>
      </x:c>
      <x:c r="K1447" s="19" t="n">
        <x:f>E1447*G1447</x:f>
        <x:v>60</x:v>
      </x:c>
      <x:c r="L1447" s="19" t="n">
        <x:f>K1447*I1447</x:f>
        <x:v>12</x:v>
      </x:c>
      <x:c r="M1447" s="19" t="n">
        <x:f>(E1447-F1447)*G1447*(1-I1447)</x:f>
        <x:v>48</x:v>
      </x:c>
      <x:c r="N1447" s="19" t="n">
        <x:f>(E1447-F1447)*H1447</x:f>
        <x:v>18</x:v>
      </x:c>
      <x:c r="O1447" s="19" t="n">
        <x:f>F1447*J1447</x:f>
        <x:v>0</x:v>
      </x:c>
      <x:c r="P1447" s="19" t="n">
        <x:f>M1447-N1447-O1447</x:f>
        <x:v>30</x:v>
      </x:c>
    </x:row>
    <x:row r="1448">
      <x:c r="A1448" s="15" t="str">
        <x:v>SIM-1444</x:v>
      </x:c>
      <x:c r="B1448" s="15" t="str">
        <x:v>2026-06</x:v>
      </x:c>
      <x:c r="C1448" s="15" t="str">
        <x:v>Prendas</x:v>
      </x:c>
      <x:c r="D1448" s="15" t="str">
        <x:v>Online</x:v>
      </x:c>
      <x:c r="E1448" s="15" t="n">
        <x:v>1</x:v>
      </x:c>
      <x:c r="F1448" s="15" t="n">
        <x:v>0</x:v>
      </x:c>
      <x:c r="G1448" s="19" t="n">
        <x:v>60</x:v>
      </x:c>
      <x:c r="H1448" s="19" t="n">
        <x:v>24</x:v>
      </x:c>
      <x:c r="I1448" s="17" t="n">
        <x:v>0.3</x:v>
      </x:c>
      <x:c r="J1448" s="19" t="n">
        <x:v>6</x:v>
      </x:c>
      <x:c r="K1448" s="19" t="n">
        <x:f>E1448*G1448</x:f>
        <x:v>60</x:v>
      </x:c>
      <x:c r="L1448" s="19" t="n">
        <x:f>K1448*I1448</x:f>
        <x:v>18</x:v>
      </x:c>
      <x:c r="M1448" s="19" t="n">
        <x:f>(E1448-F1448)*G1448*(1-I1448)</x:f>
        <x:v>42</x:v>
      </x:c>
      <x:c r="N1448" s="19" t="n">
        <x:f>(E1448-F1448)*H1448</x:f>
        <x:v>24</x:v>
      </x:c>
      <x:c r="O1448" s="19" t="n">
        <x:f>F1448*J1448</x:f>
        <x:v>0</x:v>
      </x:c>
      <x:c r="P1448" s="19" t="n">
        <x:f>M1448-N1448-O1448</x:f>
        <x:v>18</x:v>
      </x:c>
    </x:row>
    <x:row r="1449">
      <x:c r="A1449" s="15" t="str">
        <x:v>SIM-1445</x:v>
      </x:c>
      <x:c r="B1449" s="15" t="str">
        <x:v>2026-06</x:v>
      </x:c>
      <x:c r="C1449" s="15" t="str">
        <x:v>Calzado</x:v>
      </x:c>
      <x:c r="D1449" s="15" t="str">
        <x:v>Online</x:v>
      </x:c>
      <x:c r="E1449" s="15" t="n">
        <x:v>2</x:v>
      </x:c>
      <x:c r="F1449" s="15" t="n">
        <x:v>0</x:v>
      </x:c>
      <x:c r="G1449" s="19" t="n">
        <x:v>90</x:v>
      </x:c>
      <x:c r="H1449" s="19" t="n">
        <x:v>42</x:v>
      </x:c>
      <x:c r="I1449" s="17" t="n">
        <x:v>0</x:v>
      </x:c>
      <x:c r="J1449" s="19" t="n">
        <x:v>6</x:v>
      </x:c>
      <x:c r="K1449" s="19" t="n">
        <x:f>E1449*G1449</x:f>
        <x:v>180</x:v>
      </x:c>
      <x:c r="L1449" s="19" t="n">
        <x:f>K1449*I1449</x:f>
        <x:v>0</x:v>
      </x:c>
      <x:c r="M1449" s="19" t="n">
        <x:f>(E1449-F1449)*G1449*(1-I1449)</x:f>
        <x:v>180</x:v>
      </x:c>
      <x:c r="N1449" s="19" t="n">
        <x:f>(E1449-F1449)*H1449</x:f>
        <x:v>84</x:v>
      </x:c>
      <x:c r="O1449" s="19" t="n">
        <x:f>F1449*J1449</x:f>
        <x:v>0</x:v>
      </x:c>
      <x:c r="P1449" s="19" t="n">
        <x:f>M1449-N1449-O1449</x:f>
        <x:v>96</x:v>
      </x:c>
    </x:row>
    <x:row r="1450">
      <x:c r="A1450" s="15" t="str">
        <x:v>SIM-1446</x:v>
      </x:c>
      <x:c r="B1450" s="15" t="str">
        <x:v>2026-06</x:v>
      </x:c>
      <x:c r="C1450" s="15" t="str">
        <x:v>Calzado</x:v>
      </x:c>
      <x:c r="D1450" s="15" t="str">
        <x:v>Tienda</x:v>
      </x:c>
      <x:c r="E1450" s="15" t="n">
        <x:v>1</x:v>
      </x:c>
      <x:c r="F1450" s="15" t="n">
        <x:v>0</x:v>
      </x:c>
      <x:c r="G1450" s="19" t="n">
        <x:v>90</x:v>
      </x:c>
      <x:c r="H1450" s="19" t="n">
        <x:v>42</x:v>
      </x:c>
      <x:c r="I1450" s="17" t="n">
        <x:v>0.2</x:v>
      </x:c>
      <x:c r="J1450" s="19" t="n">
        <x:v>2</x:v>
      </x:c>
      <x:c r="K1450" s="19" t="n">
        <x:f>E1450*G1450</x:f>
        <x:v>90</x:v>
      </x:c>
      <x:c r="L1450" s="19" t="n">
        <x:f>K1450*I1450</x:f>
        <x:v>18</x:v>
      </x:c>
      <x:c r="M1450" s="19" t="n">
        <x:f>(E1450-F1450)*G1450*(1-I1450)</x:f>
        <x:v>72</x:v>
      </x:c>
      <x:c r="N1450" s="19" t="n">
        <x:f>(E1450-F1450)*H1450</x:f>
        <x:v>42</x:v>
      </x:c>
      <x:c r="O1450" s="19" t="n">
        <x:f>F1450*J1450</x:f>
        <x:v>0</x:v>
      </x:c>
      <x:c r="P1450" s="19" t="n">
        <x:f>M1450-N1450-O1450</x:f>
        <x:v>30</x:v>
      </x:c>
    </x:row>
    <x:row r="1451">
      <x:c r="A1451" s="15" t="str">
        <x:v>SIM-1447</x:v>
      </x:c>
      <x:c r="B1451" s="15" t="str">
        <x:v>2026-06</x:v>
      </x:c>
      <x:c r="C1451" s="15" t="str">
        <x:v>Calzado</x:v>
      </x:c>
      <x:c r="D1451" s="15" t="str">
        <x:v>Online</x:v>
      </x:c>
      <x:c r="E1451" s="15" t="n">
        <x:v>1</x:v>
      </x:c>
      <x:c r="F1451" s="15" t="n">
        <x:v>0</x:v>
      </x:c>
      <x:c r="G1451" s="19" t="n">
        <x:v>90</x:v>
      </x:c>
      <x:c r="H1451" s="19" t="n">
        <x:v>42</x:v>
      </x:c>
      <x:c r="I1451" s="17" t="n">
        <x:v>0</x:v>
      </x:c>
      <x:c r="J1451" s="19" t="n">
        <x:v>6</x:v>
      </x:c>
      <x:c r="K1451" s="19" t="n">
        <x:f>E1451*G1451</x:f>
        <x:v>90</x:v>
      </x:c>
      <x:c r="L1451" s="19" t="n">
        <x:f>K1451*I1451</x:f>
        <x:v>0</x:v>
      </x:c>
      <x:c r="M1451" s="19" t="n">
        <x:f>(E1451-F1451)*G1451*(1-I1451)</x:f>
        <x:v>90</x:v>
      </x:c>
      <x:c r="N1451" s="19" t="n">
        <x:f>(E1451-F1451)*H1451</x:f>
        <x:v>42</x:v>
      </x:c>
      <x:c r="O1451" s="19" t="n">
        <x:f>F1451*J1451</x:f>
        <x:v>0</x:v>
      </x:c>
      <x:c r="P1451" s="19" t="n">
        <x:f>M1451-N1451-O1451</x:f>
        <x:v>48</x:v>
      </x:c>
    </x:row>
    <x:row r="1452">
      <x:c r="A1452" s="15" t="str">
        <x:v>SIM-1448</x:v>
      </x:c>
      <x:c r="B1452" s="15" t="str">
        <x:v>2026-06</x:v>
      </x:c>
      <x:c r="C1452" s="15" t="str">
        <x:v>Prendas</x:v>
      </x:c>
      <x:c r="D1452" s="15" t="str">
        <x:v>Online</x:v>
      </x:c>
      <x:c r="E1452" s="15" t="n">
        <x:v>1</x:v>
      </x:c>
      <x:c r="F1452" s="15" t="n">
        <x:v>0</x:v>
      </x:c>
      <x:c r="G1452" s="19" t="n">
        <x:v>60</x:v>
      </x:c>
      <x:c r="H1452" s="19" t="n">
        <x:v>24</x:v>
      </x:c>
      <x:c r="I1452" s="17" t="n">
        <x:v>0.1</x:v>
      </x:c>
      <x:c r="J1452" s="19" t="n">
        <x:v>6</x:v>
      </x:c>
      <x:c r="K1452" s="19" t="n">
        <x:f>E1452*G1452</x:f>
        <x:v>60</x:v>
      </x:c>
      <x:c r="L1452" s="19" t="n">
        <x:f>K1452*I1452</x:f>
        <x:v>6</x:v>
      </x:c>
      <x:c r="M1452" s="19" t="n">
        <x:f>(E1452-F1452)*G1452*(1-I1452)</x:f>
        <x:v>54</x:v>
      </x:c>
      <x:c r="N1452" s="19" t="n">
        <x:f>(E1452-F1452)*H1452</x:f>
        <x:v>24</x:v>
      </x:c>
      <x:c r="O1452" s="19" t="n">
        <x:f>F1452*J1452</x:f>
        <x:v>0</x:v>
      </x:c>
      <x:c r="P1452" s="19" t="n">
        <x:f>M1452-N1452-O1452</x:f>
        <x:v>30</x:v>
      </x:c>
    </x:row>
    <x:row r="1453">
      <x:c r="A1453" s="15" t="str">
        <x:v>SIM-1449</x:v>
      </x:c>
      <x:c r="B1453" s="15" t="str">
        <x:v>2026-06</x:v>
      </x:c>
      <x:c r="C1453" s="15" t="str">
        <x:v>Prendas</x:v>
      </x:c>
      <x:c r="D1453" s="15" t="str">
        <x:v>Online</x:v>
      </x:c>
      <x:c r="E1453" s="15" t="n">
        <x:v>3</x:v>
      </x:c>
      <x:c r="F1453" s="15" t="n">
        <x:v>0</x:v>
      </x:c>
      <x:c r="G1453" s="19" t="n">
        <x:v>60</x:v>
      </x:c>
      <x:c r="H1453" s="19" t="n">
        <x:v>24</x:v>
      </x:c>
      <x:c r="I1453" s="17" t="n">
        <x:v>0.1</x:v>
      </x:c>
      <x:c r="J1453" s="19" t="n">
        <x:v>6</x:v>
      </x:c>
      <x:c r="K1453" s="19" t="n">
        <x:f>E1453*G1453</x:f>
        <x:v>180</x:v>
      </x:c>
      <x:c r="L1453" s="19" t="n">
        <x:f>K1453*I1453</x:f>
        <x:v>18</x:v>
      </x:c>
      <x:c r="M1453" s="19" t="n">
        <x:f>(E1453-F1453)*G1453*(1-I1453)</x:f>
        <x:v>162</x:v>
      </x:c>
      <x:c r="N1453" s="19" t="n">
        <x:f>(E1453-F1453)*H1453</x:f>
        <x:v>72</x:v>
      </x:c>
      <x:c r="O1453" s="19" t="n">
        <x:f>F1453*J1453</x:f>
        <x:v>0</x:v>
      </x:c>
      <x:c r="P1453" s="19" t="n">
        <x:f>M1453-N1453-O1453</x:f>
        <x:v>90</x:v>
      </x:c>
    </x:row>
    <x:row r="1454">
      <x:c r="A1454" s="15" t="str">
        <x:v>SIM-1450</x:v>
      </x:c>
      <x:c r="B1454" s="15" t="str">
        <x:v>2026-06</x:v>
      </x:c>
      <x:c r="C1454" s="15" t="str">
        <x:v>Prendas</x:v>
      </x:c>
      <x:c r="D1454" s="15" t="str">
        <x:v>Online</x:v>
      </x:c>
      <x:c r="E1454" s="15" t="n">
        <x:v>1</x:v>
      </x:c>
      <x:c r="F1454" s="15" t="n">
        <x:v>0</x:v>
      </x:c>
      <x:c r="G1454" s="19" t="n">
        <x:v>60</x:v>
      </x:c>
      <x:c r="H1454" s="19" t="n">
        <x:v>24</x:v>
      </x:c>
      <x:c r="I1454" s="17" t="n">
        <x:v>0.3</x:v>
      </x:c>
      <x:c r="J1454" s="19" t="n">
        <x:v>6</x:v>
      </x:c>
      <x:c r="K1454" s="19" t="n">
        <x:f>E1454*G1454</x:f>
        <x:v>60</x:v>
      </x:c>
      <x:c r="L1454" s="19" t="n">
        <x:f>K1454*I1454</x:f>
        <x:v>18</x:v>
      </x:c>
      <x:c r="M1454" s="19" t="n">
        <x:f>(E1454-F1454)*G1454*(1-I1454)</x:f>
        <x:v>42</x:v>
      </x:c>
      <x:c r="N1454" s="19" t="n">
        <x:f>(E1454-F1454)*H1454</x:f>
        <x:v>24</x:v>
      </x:c>
      <x:c r="O1454" s="19" t="n">
        <x:f>F1454*J1454</x:f>
        <x:v>0</x:v>
      </x:c>
      <x:c r="P1454" s="19" t="n">
        <x:f>M1454-N1454-O1454</x:f>
        <x:v>18</x:v>
      </x:c>
    </x:row>
    <x:row r="1455">
      <x:c r="A1455" s="15" t="str">
        <x:v>SIM-1451</x:v>
      </x:c>
      <x:c r="B1455" s="15" t="str">
        <x:v>2026-06</x:v>
      </x:c>
      <x:c r="C1455" s="15" t="str">
        <x:v>Calzado</x:v>
      </x:c>
      <x:c r="D1455" s="15" t="str">
        <x:v>Online</x:v>
      </x:c>
      <x:c r="E1455" s="15" t="n">
        <x:v>3</x:v>
      </x:c>
      <x:c r="F1455" s="15" t="n">
        <x:v>1</x:v>
      </x:c>
      <x:c r="G1455" s="19" t="n">
        <x:v>90</x:v>
      </x:c>
      <x:c r="H1455" s="19" t="n">
        <x:v>42</x:v>
      </x:c>
      <x:c r="I1455" s="17" t="n">
        <x:v>0</x:v>
      </x:c>
      <x:c r="J1455" s="19" t="n">
        <x:v>6</x:v>
      </x:c>
      <x:c r="K1455" s="19" t="n">
        <x:f>E1455*G1455</x:f>
        <x:v>270</x:v>
      </x:c>
      <x:c r="L1455" s="19" t="n">
        <x:f>K1455*I1455</x:f>
        <x:v>0</x:v>
      </x:c>
      <x:c r="M1455" s="19" t="n">
        <x:f>(E1455-F1455)*G1455*(1-I1455)</x:f>
        <x:v>180</x:v>
      </x:c>
      <x:c r="N1455" s="19" t="n">
        <x:f>(E1455-F1455)*H1455</x:f>
        <x:v>84</x:v>
      </x:c>
      <x:c r="O1455" s="19" t="n">
        <x:f>F1455*J1455</x:f>
        <x:v>6</x:v>
      </x:c>
      <x:c r="P1455" s="19" t="n">
        <x:f>M1455-N1455-O1455</x:f>
        <x:v>90</x:v>
      </x:c>
    </x:row>
    <x:row r="1456">
      <x:c r="A1456" s="15" t="str">
        <x:v>SIM-1452</x:v>
      </x:c>
      <x:c r="B1456" s="15" t="str">
        <x:v>2026-06</x:v>
      </x:c>
      <x:c r="C1456" s="15" t="str">
        <x:v>Calzado</x:v>
      </x:c>
      <x:c r="D1456" s="15" t="str">
        <x:v>Tienda</x:v>
      </x:c>
      <x:c r="E1456" s="15" t="n">
        <x:v>1</x:v>
      </x:c>
      <x:c r="F1456" s="15" t="n">
        <x:v>0</x:v>
      </x:c>
      <x:c r="G1456" s="19" t="n">
        <x:v>90</x:v>
      </x:c>
      <x:c r="H1456" s="19" t="n">
        <x:v>42</x:v>
      </x:c>
      <x:c r="I1456" s="17" t="n">
        <x:v>0.3</x:v>
      </x:c>
      <x:c r="J1456" s="19" t="n">
        <x:v>2</x:v>
      </x:c>
      <x:c r="K1456" s="19" t="n">
        <x:f>E1456*G1456</x:f>
        <x:v>90</x:v>
      </x:c>
      <x:c r="L1456" s="19" t="n">
        <x:f>K1456*I1456</x:f>
        <x:v>27</x:v>
      </x:c>
      <x:c r="M1456" s="19" t="n">
        <x:f>(E1456-F1456)*G1456*(1-I1456)</x:f>
        <x:v>62.99999999999999</x:v>
      </x:c>
      <x:c r="N1456" s="19" t="n">
        <x:f>(E1456-F1456)*H1456</x:f>
        <x:v>42</x:v>
      </x:c>
      <x:c r="O1456" s="19" t="n">
        <x:f>F1456*J1456</x:f>
        <x:v>0</x:v>
      </x:c>
      <x:c r="P1456" s="19" t="n">
        <x:f>M1456-N1456-O1456</x:f>
        <x:v>20.999999999999993</x:v>
      </x:c>
    </x:row>
    <x:row r="1457">
      <x:c r="A1457" s="15" t="str">
        <x:v>SIM-1453</x:v>
      </x:c>
      <x:c r="B1457" s="15" t="str">
        <x:v>2026-06</x:v>
      </x:c>
      <x:c r="C1457" s="15" t="str">
        <x:v>Calzado</x:v>
      </x:c>
      <x:c r="D1457" s="15" t="str">
        <x:v>Online</x:v>
      </x:c>
      <x:c r="E1457" s="15" t="n">
        <x:v>1</x:v>
      </x:c>
      <x:c r="F1457" s="15" t="n">
        <x:v>0</x:v>
      </x:c>
      <x:c r="G1457" s="19" t="n">
        <x:v>90</x:v>
      </x:c>
      <x:c r="H1457" s="19" t="n">
        <x:v>42</x:v>
      </x:c>
      <x:c r="I1457" s="17" t="n">
        <x:v>0.3</x:v>
      </x:c>
      <x:c r="J1457" s="19" t="n">
        <x:v>6</x:v>
      </x:c>
      <x:c r="K1457" s="19" t="n">
        <x:f>E1457*G1457</x:f>
        <x:v>90</x:v>
      </x:c>
      <x:c r="L1457" s="19" t="n">
        <x:f>K1457*I1457</x:f>
        <x:v>27</x:v>
      </x:c>
      <x:c r="M1457" s="19" t="n">
        <x:f>(E1457-F1457)*G1457*(1-I1457)</x:f>
        <x:v>62.99999999999999</x:v>
      </x:c>
      <x:c r="N1457" s="19" t="n">
        <x:f>(E1457-F1457)*H1457</x:f>
        <x:v>42</x:v>
      </x:c>
      <x:c r="O1457" s="19" t="n">
        <x:f>F1457*J1457</x:f>
        <x:v>0</x:v>
      </x:c>
      <x:c r="P1457" s="19" t="n">
        <x:f>M1457-N1457-O1457</x:f>
        <x:v>20.999999999999993</x:v>
      </x:c>
    </x:row>
    <x:row r="1458">
      <x:c r="A1458" s="15" t="str">
        <x:v>SIM-1454</x:v>
      </x:c>
      <x:c r="B1458" s="15" t="str">
        <x:v>2026-06</x:v>
      </x:c>
      <x:c r="C1458" s="15" t="str">
        <x:v>Prendas</x:v>
      </x:c>
      <x:c r="D1458" s="15" t="str">
        <x:v>Tienda</x:v>
      </x:c>
      <x:c r="E1458" s="15" t="n">
        <x:v>1</x:v>
      </x:c>
      <x:c r="F1458" s="15" t="n">
        <x:v>0</x:v>
      </x:c>
      <x:c r="G1458" s="19" t="n">
        <x:v>60</x:v>
      </x:c>
      <x:c r="H1458" s="19" t="n">
        <x:v>24</x:v>
      </x:c>
      <x:c r="I1458" s="17" t="n">
        <x:v>0.1</x:v>
      </x:c>
      <x:c r="J1458" s="19" t="n">
        <x:v>2</x:v>
      </x:c>
      <x:c r="K1458" s="19" t="n">
        <x:f>E1458*G1458</x:f>
        <x:v>60</x:v>
      </x:c>
      <x:c r="L1458" s="19" t="n">
        <x:f>K1458*I1458</x:f>
        <x:v>6</x:v>
      </x:c>
      <x:c r="M1458" s="19" t="n">
        <x:f>(E1458-F1458)*G1458*(1-I1458)</x:f>
        <x:v>54</x:v>
      </x:c>
      <x:c r="N1458" s="19" t="n">
        <x:f>(E1458-F1458)*H1458</x:f>
        <x:v>24</x:v>
      </x:c>
      <x:c r="O1458" s="19" t="n">
        <x:f>F1458*J1458</x:f>
        <x:v>0</x:v>
      </x:c>
      <x:c r="P1458" s="19" t="n">
        <x:f>M1458-N1458-O1458</x:f>
        <x:v>30</x:v>
      </x:c>
    </x:row>
    <x:row r="1459">
      <x:c r="A1459" s="15" t="str">
        <x:v>SIM-1455</x:v>
      </x:c>
      <x:c r="B1459" s="15" t="str">
        <x:v>2026-06</x:v>
      </x:c>
      <x:c r="C1459" s="15" t="str">
        <x:v>Prendas</x:v>
      </x:c>
      <x:c r="D1459" s="15" t="str">
        <x:v>Online</x:v>
      </x:c>
      <x:c r="E1459" s="15" t="n">
        <x:v>1</x:v>
      </x:c>
      <x:c r="F1459" s="15" t="n">
        <x:v>0</x:v>
      </x:c>
      <x:c r="G1459" s="19" t="n">
        <x:v>60</x:v>
      </x:c>
      <x:c r="H1459" s="19" t="n">
        <x:v>24</x:v>
      </x:c>
      <x:c r="I1459" s="17" t="n">
        <x:v>0.3</x:v>
      </x:c>
      <x:c r="J1459" s="19" t="n">
        <x:v>6</x:v>
      </x:c>
      <x:c r="K1459" s="19" t="n">
        <x:f>E1459*G1459</x:f>
        <x:v>60</x:v>
      </x:c>
      <x:c r="L1459" s="19" t="n">
        <x:f>K1459*I1459</x:f>
        <x:v>18</x:v>
      </x:c>
      <x:c r="M1459" s="19" t="n">
        <x:f>(E1459-F1459)*G1459*(1-I1459)</x:f>
        <x:v>42</x:v>
      </x:c>
      <x:c r="N1459" s="19" t="n">
        <x:f>(E1459-F1459)*H1459</x:f>
        <x:v>24</x:v>
      </x:c>
      <x:c r="O1459" s="19" t="n">
        <x:f>F1459*J1459</x:f>
        <x:v>0</x:v>
      </x:c>
      <x:c r="P1459" s="19" t="n">
        <x:f>M1459-N1459-O1459</x:f>
        <x:v>18</x:v>
      </x:c>
    </x:row>
    <x:row r="1460">
      <x:c r="A1460" s="15" t="str">
        <x:v>SIM-1456</x:v>
      </x:c>
      <x:c r="B1460" s="15" t="str">
        <x:v>2026-06</x:v>
      </x:c>
      <x:c r="C1460" s="15" t="str">
        <x:v>Calzado</x:v>
      </x:c>
      <x:c r="D1460" s="15" t="str">
        <x:v>Tienda</x:v>
      </x:c>
      <x:c r="E1460" s="15" t="n">
        <x:v>2</x:v>
      </x:c>
      <x:c r="F1460" s="15" t="n">
        <x:v>0</x:v>
      </x:c>
      <x:c r="G1460" s="19" t="n">
        <x:v>90</x:v>
      </x:c>
      <x:c r="H1460" s="19" t="n">
        <x:v>42</x:v>
      </x:c>
      <x:c r="I1460" s="17" t="n">
        <x:v>0</x:v>
      </x:c>
      <x:c r="J1460" s="19" t="n">
        <x:v>2</x:v>
      </x:c>
      <x:c r="K1460" s="19" t="n">
        <x:f>E1460*G1460</x:f>
        <x:v>180</x:v>
      </x:c>
      <x:c r="L1460" s="19" t="n">
        <x:f>K1460*I1460</x:f>
        <x:v>0</x:v>
      </x:c>
      <x:c r="M1460" s="19" t="n">
        <x:f>(E1460-F1460)*G1460*(1-I1460)</x:f>
        <x:v>180</x:v>
      </x:c>
      <x:c r="N1460" s="19" t="n">
        <x:f>(E1460-F1460)*H1460</x:f>
        <x:v>84</x:v>
      </x:c>
      <x:c r="O1460" s="19" t="n">
        <x:f>F1460*J1460</x:f>
        <x:v>0</x:v>
      </x:c>
      <x:c r="P1460" s="19" t="n">
        <x:f>M1460-N1460-O1460</x:f>
        <x:v>96</x:v>
      </x:c>
    </x:row>
    <x:row r="1461">
      <x:c r="A1461" s="15" t="str">
        <x:v>SIM-1457</x:v>
      </x:c>
      <x:c r="B1461" s="15" t="str">
        <x:v>2026-06</x:v>
      </x:c>
      <x:c r="C1461" s="15" t="str">
        <x:v>Calzado</x:v>
      </x:c>
      <x:c r="D1461" s="15" t="str">
        <x:v>Online</x:v>
      </x:c>
      <x:c r="E1461" s="15" t="n">
        <x:v>1</x:v>
      </x:c>
      <x:c r="F1461" s="15" t="n">
        <x:v>0</x:v>
      </x:c>
      <x:c r="G1461" s="19" t="n">
        <x:v>90</x:v>
      </x:c>
      <x:c r="H1461" s="19" t="n">
        <x:v>42</x:v>
      </x:c>
      <x:c r="I1461" s="17" t="n">
        <x:v>0.1</x:v>
      </x:c>
      <x:c r="J1461" s="19" t="n">
        <x:v>6</x:v>
      </x:c>
      <x:c r="K1461" s="19" t="n">
        <x:f>E1461*G1461</x:f>
        <x:v>90</x:v>
      </x:c>
      <x:c r="L1461" s="19" t="n">
        <x:f>K1461*I1461</x:f>
        <x:v>9</x:v>
      </x:c>
      <x:c r="M1461" s="19" t="n">
        <x:f>(E1461-F1461)*G1461*(1-I1461)</x:f>
        <x:v>81</x:v>
      </x:c>
      <x:c r="N1461" s="19" t="n">
        <x:f>(E1461-F1461)*H1461</x:f>
        <x:v>42</x:v>
      </x:c>
      <x:c r="O1461" s="19" t="n">
        <x:f>F1461*J1461</x:f>
        <x:v>0</x:v>
      </x:c>
      <x:c r="P1461" s="19" t="n">
        <x:f>M1461-N1461-O1461</x:f>
        <x:v>39</x:v>
      </x:c>
    </x:row>
    <x:row r="1462">
      <x:c r="A1462" s="15" t="str">
        <x:v>SIM-1458</x:v>
      </x:c>
      <x:c r="B1462" s="15" t="str">
        <x:v>2026-06</x:v>
      </x:c>
      <x:c r="C1462" s="15" t="str">
        <x:v>Calzado</x:v>
      </x:c>
      <x:c r="D1462" s="15" t="str">
        <x:v>Tienda</x:v>
      </x:c>
      <x:c r="E1462" s="15" t="n">
        <x:v>1</x:v>
      </x:c>
      <x:c r="F1462" s="15" t="n">
        <x:v>0</x:v>
      </x:c>
      <x:c r="G1462" s="19" t="n">
        <x:v>90</x:v>
      </x:c>
      <x:c r="H1462" s="19" t="n">
        <x:v>42</x:v>
      </x:c>
      <x:c r="I1462" s="17" t="n">
        <x:v>0.3</x:v>
      </x:c>
      <x:c r="J1462" s="19" t="n">
        <x:v>2</x:v>
      </x:c>
      <x:c r="K1462" s="19" t="n">
        <x:f>E1462*G1462</x:f>
        <x:v>90</x:v>
      </x:c>
      <x:c r="L1462" s="19" t="n">
        <x:f>K1462*I1462</x:f>
        <x:v>27</x:v>
      </x:c>
      <x:c r="M1462" s="19" t="n">
        <x:f>(E1462-F1462)*G1462*(1-I1462)</x:f>
        <x:v>62.99999999999999</x:v>
      </x:c>
      <x:c r="N1462" s="19" t="n">
        <x:f>(E1462-F1462)*H1462</x:f>
        <x:v>42</x:v>
      </x:c>
      <x:c r="O1462" s="19" t="n">
        <x:f>F1462*J1462</x:f>
        <x:v>0</x:v>
      </x:c>
      <x:c r="P1462" s="19" t="n">
        <x:f>M1462-N1462-O1462</x:f>
        <x:v>20.999999999999993</x:v>
      </x:c>
    </x:row>
    <x:row r="1463">
      <x:c r="A1463" s="15" t="str">
        <x:v>SIM-1459</x:v>
      </x:c>
      <x:c r="B1463" s="15" t="str">
        <x:v>2026-06</x:v>
      </x:c>
      <x:c r="C1463" s="15" t="str">
        <x:v>Prendas</x:v>
      </x:c>
      <x:c r="D1463" s="15" t="str">
        <x:v>Tienda</x:v>
      </x:c>
      <x:c r="E1463" s="15" t="n">
        <x:v>1</x:v>
      </x:c>
      <x:c r="F1463" s="15" t="n">
        <x:v>0</x:v>
      </x:c>
      <x:c r="G1463" s="19" t="n">
        <x:v>60</x:v>
      </x:c>
      <x:c r="H1463" s="19" t="n">
        <x:v>24</x:v>
      </x:c>
      <x:c r="I1463" s="17" t="n">
        <x:v>0.2</x:v>
      </x:c>
      <x:c r="J1463" s="19" t="n">
        <x:v>2</x:v>
      </x:c>
      <x:c r="K1463" s="19" t="n">
        <x:f>E1463*G1463</x:f>
        <x:v>60</x:v>
      </x:c>
      <x:c r="L1463" s="19" t="n">
        <x:f>K1463*I1463</x:f>
        <x:v>12</x:v>
      </x:c>
      <x:c r="M1463" s="19" t="n">
        <x:f>(E1463-F1463)*G1463*(1-I1463)</x:f>
        <x:v>48</x:v>
      </x:c>
      <x:c r="N1463" s="19" t="n">
        <x:f>(E1463-F1463)*H1463</x:f>
        <x:v>24</x:v>
      </x:c>
      <x:c r="O1463" s="19" t="n">
        <x:f>F1463*J1463</x:f>
        <x:v>0</x:v>
      </x:c>
      <x:c r="P1463" s="19" t="n">
        <x:f>M1463-N1463-O1463</x:f>
        <x:v>24</x:v>
      </x:c>
    </x:row>
    <x:row r="1464">
      <x:c r="A1464" s="15" t="str">
        <x:v>SIM-1460</x:v>
      </x:c>
      <x:c r="B1464" s="15" t="str">
        <x:v>2026-06</x:v>
      </x:c>
      <x:c r="C1464" s="15" t="str">
        <x:v>Calzado</x:v>
      </x:c>
      <x:c r="D1464" s="15" t="str">
        <x:v>Tienda</x:v>
      </x:c>
      <x:c r="E1464" s="15" t="n">
        <x:v>2</x:v>
      </x:c>
      <x:c r="F1464" s="15" t="n">
        <x:v>0</x:v>
      </x:c>
      <x:c r="G1464" s="19" t="n">
        <x:v>90</x:v>
      </x:c>
      <x:c r="H1464" s="19" t="n">
        <x:v>42</x:v>
      </x:c>
      <x:c r="I1464" s="17" t="n">
        <x:v>0</x:v>
      </x:c>
      <x:c r="J1464" s="19" t="n">
        <x:v>2</x:v>
      </x:c>
      <x:c r="K1464" s="19" t="n">
        <x:f>E1464*G1464</x:f>
        <x:v>180</x:v>
      </x:c>
      <x:c r="L1464" s="19" t="n">
        <x:f>K1464*I1464</x:f>
        <x:v>0</x:v>
      </x:c>
      <x:c r="M1464" s="19" t="n">
        <x:f>(E1464-F1464)*G1464*(1-I1464)</x:f>
        <x:v>180</x:v>
      </x:c>
      <x:c r="N1464" s="19" t="n">
        <x:f>(E1464-F1464)*H1464</x:f>
        <x:v>84</x:v>
      </x:c>
      <x:c r="O1464" s="19" t="n">
        <x:f>F1464*J1464</x:f>
        <x:v>0</x:v>
      </x:c>
      <x:c r="P1464" s="19" t="n">
        <x:f>M1464-N1464-O1464</x:f>
        <x:v>96</x:v>
      </x:c>
    </x:row>
    <x:row r="1465">
      <x:c r="A1465" s="15" t="str">
        <x:v>SIM-1461</x:v>
      </x:c>
      <x:c r="B1465" s="15" t="str">
        <x:v>2026-06</x:v>
      </x:c>
      <x:c r="C1465" s="15" t="str">
        <x:v>Calzado</x:v>
      </x:c>
      <x:c r="D1465" s="15" t="str">
        <x:v>Online</x:v>
      </x:c>
      <x:c r="E1465" s="15" t="n">
        <x:v>1</x:v>
      </x:c>
      <x:c r="F1465" s="15" t="n">
        <x:v>1</x:v>
      </x:c>
      <x:c r="G1465" s="19" t="n">
        <x:v>90</x:v>
      </x:c>
      <x:c r="H1465" s="19" t="n">
        <x:v>42</x:v>
      </x:c>
      <x:c r="I1465" s="17" t="n">
        <x:v>0</x:v>
      </x:c>
      <x:c r="J1465" s="19" t="n">
        <x:v>6</x:v>
      </x:c>
      <x:c r="K1465" s="19" t="n">
        <x:f>E1465*G1465</x:f>
        <x:v>90</x:v>
      </x:c>
      <x:c r="L1465" s="19" t="n">
        <x:f>K1465*I1465</x:f>
        <x:v>0</x:v>
      </x:c>
      <x:c r="M1465" s="19" t="n">
        <x:f>(E1465-F1465)*G1465*(1-I1465)</x:f>
        <x:v>0</x:v>
      </x:c>
      <x:c r="N1465" s="19" t="n">
        <x:f>(E1465-F1465)*H1465</x:f>
        <x:v>0</x:v>
      </x:c>
      <x:c r="O1465" s="19" t="n">
        <x:f>F1465*J1465</x:f>
        <x:v>6</x:v>
      </x:c>
      <x:c r="P1465" s="19" t="n">
        <x:f>M1465-N1465-O1465</x:f>
        <x:v>-6</x:v>
      </x:c>
    </x:row>
    <x:row r="1466">
      <x:c r="A1466" s="15" t="str">
        <x:v>SIM-1462</x:v>
      </x:c>
      <x:c r="B1466" s="15" t="str">
        <x:v>2026-06</x:v>
      </x:c>
      <x:c r="C1466" s="15" t="str">
        <x:v>Calzado</x:v>
      </x:c>
      <x:c r="D1466" s="15" t="str">
        <x:v>Online</x:v>
      </x:c>
      <x:c r="E1466" s="15" t="n">
        <x:v>1</x:v>
      </x:c>
      <x:c r="F1466" s="15" t="n">
        <x:v>0</x:v>
      </x:c>
      <x:c r="G1466" s="19" t="n">
        <x:v>90</x:v>
      </x:c>
      <x:c r="H1466" s="19" t="n">
        <x:v>42</x:v>
      </x:c>
      <x:c r="I1466" s="17" t="n">
        <x:v>0</x:v>
      </x:c>
      <x:c r="J1466" s="19" t="n">
        <x:v>6</x:v>
      </x:c>
      <x:c r="K1466" s="19" t="n">
        <x:f>E1466*G1466</x:f>
        <x:v>90</x:v>
      </x:c>
      <x:c r="L1466" s="19" t="n">
        <x:f>K1466*I1466</x:f>
        <x:v>0</x:v>
      </x:c>
      <x:c r="M1466" s="19" t="n">
        <x:f>(E1466-F1466)*G1466*(1-I1466)</x:f>
        <x:v>90</x:v>
      </x:c>
      <x:c r="N1466" s="19" t="n">
        <x:f>(E1466-F1466)*H1466</x:f>
        <x:v>42</x:v>
      </x:c>
      <x:c r="O1466" s="19" t="n">
        <x:f>F1466*J1466</x:f>
        <x:v>0</x:v>
      </x:c>
      <x:c r="P1466" s="19" t="n">
        <x:f>M1466-N1466-O1466</x:f>
        <x:v>48</x:v>
      </x:c>
    </x:row>
    <x:row r="1467">
      <x:c r="A1467" s="15" t="str">
        <x:v>SIM-1463</x:v>
      </x:c>
      <x:c r="B1467" s="15" t="str">
        <x:v>2026-06</x:v>
      </x:c>
      <x:c r="C1467" s="15" t="str">
        <x:v>Calzado</x:v>
      </x:c>
      <x:c r="D1467" s="15" t="str">
        <x:v>Tienda</x:v>
      </x:c>
      <x:c r="E1467" s="15" t="n">
        <x:v>1</x:v>
      </x:c>
      <x:c r="F1467" s="15" t="n">
        <x:v>0</x:v>
      </x:c>
      <x:c r="G1467" s="19" t="n">
        <x:v>90</x:v>
      </x:c>
      <x:c r="H1467" s="19" t="n">
        <x:v>42</x:v>
      </x:c>
      <x:c r="I1467" s="17" t="n">
        <x:v>0</x:v>
      </x:c>
      <x:c r="J1467" s="19" t="n">
        <x:v>2</x:v>
      </x:c>
      <x:c r="K1467" s="19" t="n">
        <x:f>E1467*G1467</x:f>
        <x:v>90</x:v>
      </x:c>
      <x:c r="L1467" s="19" t="n">
        <x:f>K1467*I1467</x:f>
        <x:v>0</x:v>
      </x:c>
      <x:c r="M1467" s="19" t="n">
        <x:f>(E1467-F1467)*G1467*(1-I1467)</x:f>
        <x:v>90</x:v>
      </x:c>
      <x:c r="N1467" s="19" t="n">
        <x:f>(E1467-F1467)*H1467</x:f>
        <x:v>42</x:v>
      </x:c>
      <x:c r="O1467" s="19" t="n">
        <x:f>F1467*J1467</x:f>
        <x:v>0</x:v>
      </x:c>
      <x:c r="P1467" s="19" t="n">
        <x:f>M1467-N1467-O1467</x:f>
        <x:v>48</x:v>
      </x:c>
    </x:row>
    <x:row r="1468">
      <x:c r="A1468" s="15" t="str">
        <x:v>SIM-1464</x:v>
      </x:c>
      <x:c r="B1468" s="15" t="str">
        <x:v>2026-06</x:v>
      </x:c>
      <x:c r="C1468" s="15" t="str">
        <x:v>Prendas</x:v>
      </x:c>
      <x:c r="D1468" s="15" t="str">
        <x:v>Tienda</x:v>
      </x:c>
      <x:c r="E1468" s="15" t="n">
        <x:v>2</x:v>
      </x:c>
      <x:c r="F1468" s="15" t="n">
        <x:v>0</x:v>
      </x:c>
      <x:c r="G1468" s="19" t="n">
        <x:v>60</x:v>
      </x:c>
      <x:c r="H1468" s="19" t="n">
        <x:v>24</x:v>
      </x:c>
      <x:c r="I1468" s="17" t="n">
        <x:v>0.3</x:v>
      </x:c>
      <x:c r="J1468" s="19" t="n">
        <x:v>2</x:v>
      </x:c>
      <x:c r="K1468" s="19" t="n">
        <x:f>E1468*G1468</x:f>
        <x:v>120</x:v>
      </x:c>
      <x:c r="L1468" s="19" t="n">
        <x:f>K1468*I1468</x:f>
        <x:v>36</x:v>
      </x:c>
      <x:c r="M1468" s="19" t="n">
        <x:f>(E1468-F1468)*G1468*(1-I1468)</x:f>
        <x:v>84</x:v>
      </x:c>
      <x:c r="N1468" s="19" t="n">
        <x:f>(E1468-F1468)*H1468</x:f>
        <x:v>48</x:v>
      </x:c>
      <x:c r="O1468" s="19" t="n">
        <x:f>F1468*J1468</x:f>
        <x:v>0</x:v>
      </x:c>
      <x:c r="P1468" s="19" t="n">
        <x:f>M1468-N1468-O1468</x:f>
        <x:v>36</x:v>
      </x:c>
    </x:row>
    <x:row r="1469">
      <x:c r="A1469" s="15" t="str">
        <x:v>SIM-1465</x:v>
      </x:c>
      <x:c r="B1469" s="15" t="str">
        <x:v>2026-06</x:v>
      </x:c>
      <x:c r="C1469" s="15" t="str">
        <x:v>Prendas</x:v>
      </x:c>
      <x:c r="D1469" s="15" t="str">
        <x:v>Tienda</x:v>
      </x:c>
      <x:c r="E1469" s="15" t="n">
        <x:v>1</x:v>
      </x:c>
      <x:c r="F1469" s="15" t="n">
        <x:v>0</x:v>
      </x:c>
      <x:c r="G1469" s="19" t="n">
        <x:v>60</x:v>
      </x:c>
      <x:c r="H1469" s="19" t="n">
        <x:v>24</x:v>
      </x:c>
      <x:c r="I1469" s="17" t="n">
        <x:v>0.1</x:v>
      </x:c>
      <x:c r="J1469" s="19" t="n">
        <x:v>2</x:v>
      </x:c>
      <x:c r="K1469" s="19" t="n">
        <x:f>E1469*G1469</x:f>
        <x:v>60</x:v>
      </x:c>
      <x:c r="L1469" s="19" t="n">
        <x:f>K1469*I1469</x:f>
        <x:v>6</x:v>
      </x:c>
      <x:c r="M1469" s="19" t="n">
        <x:f>(E1469-F1469)*G1469*(1-I1469)</x:f>
        <x:v>54</x:v>
      </x:c>
      <x:c r="N1469" s="19" t="n">
        <x:f>(E1469-F1469)*H1469</x:f>
        <x:v>24</x:v>
      </x:c>
      <x:c r="O1469" s="19" t="n">
        <x:f>F1469*J1469</x:f>
        <x:v>0</x:v>
      </x:c>
      <x:c r="P1469" s="19" t="n">
        <x:f>M1469-N1469-O1469</x:f>
        <x:v>30</x:v>
      </x:c>
    </x:row>
    <x:row r="1470">
      <x:c r="A1470" s="15" t="str">
        <x:v>SIM-1466</x:v>
      </x:c>
      <x:c r="B1470" s="15" t="str">
        <x:v>2026-06</x:v>
      </x:c>
      <x:c r="C1470" s="15" t="str">
        <x:v>Prendas</x:v>
      </x:c>
      <x:c r="D1470" s="15" t="str">
        <x:v>Tienda</x:v>
      </x:c>
      <x:c r="E1470" s="15" t="n">
        <x:v>1</x:v>
      </x:c>
      <x:c r="F1470" s="15" t="n">
        <x:v>0</x:v>
      </x:c>
      <x:c r="G1470" s="19" t="n">
        <x:v>60</x:v>
      </x:c>
      <x:c r="H1470" s="19" t="n">
        <x:v>24</x:v>
      </x:c>
      <x:c r="I1470" s="17" t="n">
        <x:v>0</x:v>
      </x:c>
      <x:c r="J1470" s="19" t="n">
        <x:v>2</x:v>
      </x:c>
      <x:c r="K1470" s="19" t="n">
        <x:f>E1470*G1470</x:f>
        <x:v>60</x:v>
      </x:c>
      <x:c r="L1470" s="19" t="n">
        <x:f>K1470*I1470</x:f>
        <x:v>0</x:v>
      </x:c>
      <x:c r="M1470" s="19" t="n">
        <x:f>(E1470-F1470)*G1470*(1-I1470)</x:f>
        <x:v>60</x:v>
      </x:c>
      <x:c r="N1470" s="19" t="n">
        <x:f>(E1470-F1470)*H1470</x:f>
        <x:v>24</x:v>
      </x:c>
      <x:c r="O1470" s="19" t="n">
        <x:f>F1470*J1470</x:f>
        <x:v>0</x:v>
      </x:c>
      <x:c r="P1470" s="19" t="n">
        <x:f>M1470-N1470-O1470</x:f>
        <x:v>36</x:v>
      </x:c>
    </x:row>
    <x:row r="1471">
      <x:c r="A1471" s="15" t="str">
        <x:v>SIM-1467</x:v>
      </x:c>
      <x:c r="B1471" s="15" t="str">
        <x:v>2026-06</x:v>
      </x:c>
      <x:c r="C1471" s="15" t="str">
        <x:v>Accesorios</x:v>
      </x:c>
      <x:c r="D1471" s="15" t="str">
        <x:v>Online</x:v>
      </x:c>
      <x:c r="E1471" s="15" t="n">
        <x:v>1</x:v>
      </x:c>
      <x:c r="F1471" s="15" t="n">
        <x:v>0</x:v>
      </x:c>
      <x:c r="G1471" s="19" t="n">
        <x:v>30</x:v>
      </x:c>
      <x:c r="H1471" s="19" t="n">
        <x:v>9</x:v>
      </x:c>
      <x:c r="I1471" s="17" t="n">
        <x:v>0.1</x:v>
      </x:c>
      <x:c r="J1471" s="19" t="n">
        <x:v>6</x:v>
      </x:c>
      <x:c r="K1471" s="19" t="n">
        <x:f>E1471*G1471</x:f>
        <x:v>30</x:v>
      </x:c>
      <x:c r="L1471" s="19" t="n">
        <x:f>K1471*I1471</x:f>
        <x:v>3</x:v>
      </x:c>
      <x:c r="M1471" s="19" t="n">
        <x:f>(E1471-F1471)*G1471*(1-I1471)</x:f>
        <x:v>27</x:v>
      </x:c>
      <x:c r="N1471" s="19" t="n">
        <x:f>(E1471-F1471)*H1471</x:f>
        <x:v>9</x:v>
      </x:c>
      <x:c r="O1471" s="19" t="n">
        <x:f>F1471*J1471</x:f>
        <x:v>0</x:v>
      </x:c>
      <x:c r="P1471" s="19" t="n">
        <x:f>M1471-N1471-O1471</x:f>
        <x:v>18</x:v>
      </x:c>
    </x:row>
    <x:row r="1472">
      <x:c r="A1472" s="15" t="str">
        <x:v>SIM-1468</x:v>
      </x:c>
      <x:c r="B1472" s="15" t="str">
        <x:v>2026-06</x:v>
      </x:c>
      <x:c r="C1472" s="15" t="str">
        <x:v>Prendas</x:v>
      </x:c>
      <x:c r="D1472" s="15" t="str">
        <x:v>Online</x:v>
      </x:c>
      <x:c r="E1472" s="15" t="n">
        <x:v>1</x:v>
      </x:c>
      <x:c r="F1472" s="15" t="n">
        <x:v>0</x:v>
      </x:c>
      <x:c r="G1472" s="19" t="n">
        <x:v>60</x:v>
      </x:c>
      <x:c r="H1472" s="19" t="n">
        <x:v>24</x:v>
      </x:c>
      <x:c r="I1472" s="17" t="n">
        <x:v>0.2</x:v>
      </x:c>
      <x:c r="J1472" s="19" t="n">
        <x:v>6</x:v>
      </x:c>
      <x:c r="K1472" s="19" t="n">
        <x:f>E1472*G1472</x:f>
        <x:v>60</x:v>
      </x:c>
      <x:c r="L1472" s="19" t="n">
        <x:f>K1472*I1472</x:f>
        <x:v>12</x:v>
      </x:c>
      <x:c r="M1472" s="19" t="n">
        <x:f>(E1472-F1472)*G1472*(1-I1472)</x:f>
        <x:v>48</x:v>
      </x:c>
      <x:c r="N1472" s="19" t="n">
        <x:f>(E1472-F1472)*H1472</x:f>
        <x:v>24</x:v>
      </x:c>
      <x:c r="O1472" s="19" t="n">
        <x:f>F1472*J1472</x:f>
        <x:v>0</x:v>
      </x:c>
      <x:c r="P1472" s="19" t="n">
        <x:f>M1472-N1472-O1472</x:f>
        <x:v>24</x:v>
      </x:c>
    </x:row>
    <x:row r="1473">
      <x:c r="A1473" s="15" t="str">
        <x:v>SIM-1469</x:v>
      </x:c>
      <x:c r="B1473" s="15" t="str">
        <x:v>2026-06</x:v>
      </x:c>
      <x:c r="C1473" s="15" t="str">
        <x:v>Prendas</x:v>
      </x:c>
      <x:c r="D1473" s="15" t="str">
        <x:v>Online</x:v>
      </x:c>
      <x:c r="E1473" s="15" t="n">
        <x:v>1</x:v>
      </x:c>
      <x:c r="F1473" s="15" t="n">
        <x:v>0</x:v>
      </x:c>
      <x:c r="G1473" s="19" t="n">
        <x:v>60</x:v>
      </x:c>
      <x:c r="H1473" s="19" t="n">
        <x:v>24</x:v>
      </x:c>
      <x:c r="I1473" s="17" t="n">
        <x:v>0.3</x:v>
      </x:c>
      <x:c r="J1473" s="19" t="n">
        <x:v>6</x:v>
      </x:c>
      <x:c r="K1473" s="19" t="n">
        <x:f>E1473*G1473</x:f>
        <x:v>60</x:v>
      </x:c>
      <x:c r="L1473" s="19" t="n">
        <x:f>K1473*I1473</x:f>
        <x:v>18</x:v>
      </x:c>
      <x:c r="M1473" s="19" t="n">
        <x:f>(E1473-F1473)*G1473*(1-I1473)</x:f>
        <x:v>42</x:v>
      </x:c>
      <x:c r="N1473" s="19" t="n">
        <x:f>(E1473-F1473)*H1473</x:f>
        <x:v>24</x:v>
      </x:c>
      <x:c r="O1473" s="19" t="n">
        <x:f>F1473*J1473</x:f>
        <x:v>0</x:v>
      </x:c>
      <x:c r="P1473" s="19" t="n">
        <x:f>M1473-N1473-O1473</x:f>
        <x:v>18</x:v>
      </x:c>
    </x:row>
    <x:row r="1474">
      <x:c r="A1474" s="15" t="str">
        <x:v>SIM-1470</x:v>
      </x:c>
      <x:c r="B1474" s="15" t="str">
        <x:v>2026-06</x:v>
      </x:c>
      <x:c r="C1474" s="15" t="str">
        <x:v>Calzado</x:v>
      </x:c>
      <x:c r="D1474" s="15" t="str">
        <x:v>Tienda</x:v>
      </x:c>
      <x:c r="E1474" s="15" t="n">
        <x:v>3</x:v>
      </x:c>
      <x:c r="F1474" s="15" t="n">
        <x:v>0</x:v>
      </x:c>
      <x:c r="G1474" s="19" t="n">
        <x:v>90</x:v>
      </x:c>
      <x:c r="H1474" s="19" t="n">
        <x:v>42</x:v>
      </x:c>
      <x:c r="I1474" s="17" t="n">
        <x:v>0.2</x:v>
      </x:c>
      <x:c r="J1474" s="19" t="n">
        <x:v>2</x:v>
      </x:c>
      <x:c r="K1474" s="19" t="n">
        <x:f>E1474*G1474</x:f>
        <x:v>270</x:v>
      </x:c>
      <x:c r="L1474" s="19" t="n">
        <x:f>K1474*I1474</x:f>
        <x:v>54</x:v>
      </x:c>
      <x:c r="M1474" s="19" t="n">
        <x:f>(E1474-F1474)*G1474*(1-I1474)</x:f>
        <x:v>216</x:v>
      </x:c>
      <x:c r="N1474" s="19" t="n">
        <x:f>(E1474-F1474)*H1474</x:f>
        <x:v>126</x:v>
      </x:c>
      <x:c r="O1474" s="19" t="n">
        <x:f>F1474*J1474</x:f>
        <x:v>0</x:v>
      </x:c>
      <x:c r="P1474" s="19" t="n">
        <x:f>M1474-N1474-O1474</x:f>
        <x:v>90</x:v>
      </x:c>
    </x:row>
    <x:row r="1475">
      <x:c r="A1475" s="15" t="str">
        <x:v>SIM-1471</x:v>
      </x:c>
      <x:c r="B1475" s="15" t="str">
        <x:v>2026-06</x:v>
      </x:c>
      <x:c r="C1475" s="15" t="str">
        <x:v>Calzado</x:v>
      </x:c>
      <x:c r="D1475" s="15" t="str">
        <x:v>Tienda</x:v>
      </x:c>
      <x:c r="E1475" s="15" t="n">
        <x:v>1</x:v>
      </x:c>
      <x:c r="F1475" s="15" t="n">
        <x:v>0</x:v>
      </x:c>
      <x:c r="G1475" s="19" t="n">
        <x:v>90</x:v>
      </x:c>
      <x:c r="H1475" s="19" t="n">
        <x:v>42</x:v>
      </x:c>
      <x:c r="I1475" s="17" t="n">
        <x:v>0.3</x:v>
      </x:c>
      <x:c r="J1475" s="19" t="n">
        <x:v>2</x:v>
      </x:c>
      <x:c r="K1475" s="19" t="n">
        <x:f>E1475*G1475</x:f>
        <x:v>90</x:v>
      </x:c>
      <x:c r="L1475" s="19" t="n">
        <x:f>K1475*I1475</x:f>
        <x:v>27</x:v>
      </x:c>
      <x:c r="M1475" s="19" t="n">
        <x:f>(E1475-F1475)*G1475*(1-I1475)</x:f>
        <x:v>62.99999999999999</x:v>
      </x:c>
      <x:c r="N1475" s="19" t="n">
        <x:f>(E1475-F1475)*H1475</x:f>
        <x:v>42</x:v>
      </x:c>
      <x:c r="O1475" s="19" t="n">
        <x:f>F1475*J1475</x:f>
        <x:v>0</x:v>
      </x:c>
      <x:c r="P1475" s="19" t="n">
        <x:f>M1475-N1475-O1475</x:f>
        <x:v>20.999999999999993</x:v>
      </x:c>
    </x:row>
    <x:row r="1476">
      <x:c r="A1476" s="15" t="str">
        <x:v>SIM-1472</x:v>
      </x:c>
      <x:c r="B1476" s="15" t="str">
        <x:v>2026-06</x:v>
      </x:c>
      <x:c r="C1476" s="15" t="str">
        <x:v>Accesorios</x:v>
      </x:c>
      <x:c r="D1476" s="15" t="str">
        <x:v>Tienda</x:v>
      </x:c>
      <x:c r="E1476" s="15" t="n">
        <x:v>1</x:v>
      </x:c>
      <x:c r="F1476" s="15" t="n">
        <x:v>0</x:v>
      </x:c>
      <x:c r="G1476" s="19" t="n">
        <x:v>30</x:v>
      </x:c>
      <x:c r="H1476" s="19" t="n">
        <x:v>9</x:v>
      </x:c>
      <x:c r="I1476" s="17" t="n">
        <x:v>0.3</x:v>
      </x:c>
      <x:c r="J1476" s="19" t="n">
        <x:v>2</x:v>
      </x:c>
      <x:c r="K1476" s="19" t="n">
        <x:f>E1476*G1476</x:f>
        <x:v>30</x:v>
      </x:c>
      <x:c r="L1476" s="19" t="n">
        <x:f>K1476*I1476</x:f>
        <x:v>9</x:v>
      </x:c>
      <x:c r="M1476" s="19" t="n">
        <x:f>(E1476-F1476)*G1476*(1-I1476)</x:f>
        <x:v>21</x:v>
      </x:c>
      <x:c r="N1476" s="19" t="n">
        <x:f>(E1476-F1476)*H1476</x:f>
        <x:v>9</x:v>
      </x:c>
      <x:c r="O1476" s="19" t="n">
        <x:f>F1476*J1476</x:f>
        <x:v>0</x:v>
      </x:c>
      <x:c r="P1476" s="19" t="n">
        <x:f>M1476-N1476-O1476</x:f>
        <x:v>12</x:v>
      </x:c>
    </x:row>
    <x:row r="1477">
      <x:c r="A1477" s="15" t="str">
        <x:v>SIM-1473</x:v>
      </x:c>
      <x:c r="B1477" s="15" t="str">
        <x:v>2026-06</x:v>
      </x:c>
      <x:c r="C1477" s="15" t="str">
        <x:v>Prendas</x:v>
      </x:c>
      <x:c r="D1477" s="15" t="str">
        <x:v>Tienda</x:v>
      </x:c>
      <x:c r="E1477" s="15" t="n">
        <x:v>2</x:v>
      </x:c>
      <x:c r="F1477" s="15" t="n">
        <x:v>0</x:v>
      </x:c>
      <x:c r="G1477" s="19" t="n">
        <x:v>60</x:v>
      </x:c>
      <x:c r="H1477" s="19" t="n">
        <x:v>24</x:v>
      </x:c>
      <x:c r="I1477" s="17" t="n">
        <x:v>0</x:v>
      </x:c>
      <x:c r="J1477" s="19" t="n">
        <x:v>2</x:v>
      </x:c>
      <x:c r="K1477" s="19" t="n">
        <x:f>E1477*G1477</x:f>
        <x:v>120</x:v>
      </x:c>
      <x:c r="L1477" s="19" t="n">
        <x:f>K1477*I1477</x:f>
        <x:v>0</x:v>
      </x:c>
      <x:c r="M1477" s="19" t="n">
        <x:f>(E1477-F1477)*G1477*(1-I1477)</x:f>
        <x:v>120</x:v>
      </x:c>
      <x:c r="N1477" s="19" t="n">
        <x:f>(E1477-F1477)*H1477</x:f>
        <x:v>48</x:v>
      </x:c>
      <x:c r="O1477" s="19" t="n">
        <x:f>F1477*J1477</x:f>
        <x:v>0</x:v>
      </x:c>
      <x:c r="P1477" s="19" t="n">
        <x:f>M1477-N1477-O1477</x:f>
        <x:v>72</x:v>
      </x:c>
    </x:row>
    <x:row r="1478">
      <x:c r="A1478" s="15" t="str">
        <x:v>SIM-1474</x:v>
      </x:c>
      <x:c r="B1478" s="15" t="str">
        <x:v>2026-06</x:v>
      </x:c>
      <x:c r="C1478" s="15" t="str">
        <x:v>Calzado</x:v>
      </x:c>
      <x:c r="D1478" s="15" t="str">
        <x:v>Online</x:v>
      </x:c>
      <x:c r="E1478" s="15" t="n">
        <x:v>1</x:v>
      </x:c>
      <x:c r="F1478" s="15" t="n">
        <x:v>0</x:v>
      </x:c>
      <x:c r="G1478" s="19" t="n">
        <x:v>90</x:v>
      </x:c>
      <x:c r="H1478" s="19" t="n">
        <x:v>42</x:v>
      </x:c>
      <x:c r="I1478" s="17" t="n">
        <x:v>0.3</x:v>
      </x:c>
      <x:c r="J1478" s="19" t="n">
        <x:v>6</x:v>
      </x:c>
      <x:c r="K1478" s="19" t="n">
        <x:f>E1478*G1478</x:f>
        <x:v>90</x:v>
      </x:c>
      <x:c r="L1478" s="19" t="n">
        <x:f>K1478*I1478</x:f>
        <x:v>27</x:v>
      </x:c>
      <x:c r="M1478" s="19" t="n">
        <x:f>(E1478-F1478)*G1478*(1-I1478)</x:f>
        <x:v>62.99999999999999</x:v>
      </x:c>
      <x:c r="N1478" s="19" t="n">
        <x:f>(E1478-F1478)*H1478</x:f>
        <x:v>42</x:v>
      </x:c>
      <x:c r="O1478" s="19" t="n">
        <x:f>F1478*J1478</x:f>
        <x:v>0</x:v>
      </x:c>
      <x:c r="P1478" s="19" t="n">
        <x:f>M1478-N1478-O1478</x:f>
        <x:v>20.999999999999993</x:v>
      </x:c>
    </x:row>
    <x:row r="1479">
      <x:c r="A1479" s="15" t="str">
        <x:v>SIM-1475</x:v>
      </x:c>
      <x:c r="B1479" s="15" t="str">
        <x:v>2026-06</x:v>
      </x:c>
      <x:c r="C1479" s="15" t="str">
        <x:v>Prendas</x:v>
      </x:c>
      <x:c r="D1479" s="15" t="str">
        <x:v>Tienda</x:v>
      </x:c>
      <x:c r="E1479" s="15" t="n">
        <x:v>2</x:v>
      </x:c>
      <x:c r="F1479" s="15" t="n">
        <x:v>0</x:v>
      </x:c>
      <x:c r="G1479" s="19" t="n">
        <x:v>60</x:v>
      </x:c>
      <x:c r="H1479" s="19" t="n">
        <x:v>24</x:v>
      </x:c>
      <x:c r="I1479" s="17" t="n">
        <x:v>0.1</x:v>
      </x:c>
      <x:c r="J1479" s="19" t="n">
        <x:v>2</x:v>
      </x:c>
      <x:c r="K1479" s="19" t="n">
        <x:f>E1479*G1479</x:f>
        <x:v>120</x:v>
      </x:c>
      <x:c r="L1479" s="19" t="n">
        <x:f>K1479*I1479</x:f>
        <x:v>12</x:v>
      </x:c>
      <x:c r="M1479" s="19" t="n">
        <x:f>(E1479-F1479)*G1479*(1-I1479)</x:f>
        <x:v>108</x:v>
      </x:c>
      <x:c r="N1479" s="19" t="n">
        <x:f>(E1479-F1479)*H1479</x:f>
        <x:v>48</x:v>
      </x:c>
      <x:c r="O1479" s="19" t="n">
        <x:f>F1479*J1479</x:f>
        <x:v>0</x:v>
      </x:c>
      <x:c r="P1479" s="19" t="n">
        <x:f>M1479-N1479-O1479</x:f>
        <x:v>60</x:v>
      </x:c>
    </x:row>
    <x:row r="1480">
      <x:c r="A1480" s="15" t="str">
        <x:v>SIM-1476</x:v>
      </x:c>
      <x:c r="B1480" s="15" t="str">
        <x:v>2026-06</x:v>
      </x:c>
      <x:c r="C1480" s="15" t="str">
        <x:v>Accesorios</x:v>
      </x:c>
      <x:c r="D1480" s="15" t="str">
        <x:v>Tienda</x:v>
      </x:c>
      <x:c r="E1480" s="15" t="n">
        <x:v>2</x:v>
      </x:c>
      <x:c r="F1480" s="15" t="n">
        <x:v>0</x:v>
      </x:c>
      <x:c r="G1480" s="19" t="n">
        <x:v>30</x:v>
      </x:c>
      <x:c r="H1480" s="19" t="n">
        <x:v>9</x:v>
      </x:c>
      <x:c r="I1480" s="17" t="n">
        <x:v>0.1</x:v>
      </x:c>
      <x:c r="J1480" s="19" t="n">
        <x:v>2</x:v>
      </x:c>
      <x:c r="K1480" s="19" t="n">
        <x:f>E1480*G1480</x:f>
        <x:v>60</x:v>
      </x:c>
      <x:c r="L1480" s="19" t="n">
        <x:f>K1480*I1480</x:f>
        <x:v>6</x:v>
      </x:c>
      <x:c r="M1480" s="19" t="n">
        <x:f>(E1480-F1480)*G1480*(1-I1480)</x:f>
        <x:v>54</x:v>
      </x:c>
      <x:c r="N1480" s="19" t="n">
        <x:f>(E1480-F1480)*H1480</x:f>
        <x:v>18</x:v>
      </x:c>
      <x:c r="O1480" s="19" t="n">
        <x:f>F1480*J1480</x:f>
        <x:v>0</x:v>
      </x:c>
      <x:c r="P1480" s="19" t="n">
        <x:f>M1480-N1480-O1480</x:f>
        <x:v>36</x:v>
      </x:c>
    </x:row>
    <x:row r="1481">
      <x:c r="A1481" s="15" t="str">
        <x:v>SIM-1477</x:v>
      </x:c>
      <x:c r="B1481" s="15" t="str">
        <x:v>2026-06</x:v>
      </x:c>
      <x:c r="C1481" s="15" t="str">
        <x:v>Accesorios</x:v>
      </x:c>
      <x:c r="D1481" s="15" t="str">
        <x:v>Online</x:v>
      </x:c>
      <x:c r="E1481" s="15" t="n">
        <x:v>3</x:v>
      </x:c>
      <x:c r="F1481" s="15" t="n">
        <x:v>0</x:v>
      </x:c>
      <x:c r="G1481" s="19" t="n">
        <x:v>30</x:v>
      </x:c>
      <x:c r="H1481" s="19" t="n">
        <x:v>9</x:v>
      </x:c>
      <x:c r="I1481" s="17" t="n">
        <x:v>0</x:v>
      </x:c>
      <x:c r="J1481" s="19" t="n">
        <x:v>6</x:v>
      </x:c>
      <x:c r="K1481" s="19" t="n">
        <x:f>E1481*G1481</x:f>
        <x:v>90</x:v>
      </x:c>
      <x:c r="L1481" s="19" t="n">
        <x:f>K1481*I1481</x:f>
        <x:v>0</x:v>
      </x:c>
      <x:c r="M1481" s="19" t="n">
        <x:f>(E1481-F1481)*G1481*(1-I1481)</x:f>
        <x:v>90</x:v>
      </x:c>
      <x:c r="N1481" s="19" t="n">
        <x:f>(E1481-F1481)*H1481</x:f>
        <x:v>27</x:v>
      </x:c>
      <x:c r="O1481" s="19" t="n">
        <x:f>F1481*J1481</x:f>
        <x:v>0</x:v>
      </x:c>
      <x:c r="P1481" s="19" t="n">
        <x:f>M1481-N1481-O1481</x:f>
        <x:v>63</x:v>
      </x:c>
    </x:row>
    <x:row r="1482">
      <x:c r="A1482" s="15" t="str">
        <x:v>SIM-1478</x:v>
      </x:c>
      <x:c r="B1482" s="15" t="str">
        <x:v>2026-06</x:v>
      </x:c>
      <x:c r="C1482" s="15" t="str">
        <x:v>Prendas</x:v>
      </x:c>
      <x:c r="D1482" s="15" t="str">
        <x:v>Tienda</x:v>
      </x:c>
      <x:c r="E1482" s="15" t="n">
        <x:v>1</x:v>
      </x:c>
      <x:c r="F1482" s="15" t="n">
        <x:v>0</x:v>
      </x:c>
      <x:c r="G1482" s="19" t="n">
        <x:v>60</x:v>
      </x:c>
      <x:c r="H1482" s="19" t="n">
        <x:v>24</x:v>
      </x:c>
      <x:c r="I1482" s="17" t="n">
        <x:v>0.2</x:v>
      </x:c>
      <x:c r="J1482" s="19" t="n">
        <x:v>2</x:v>
      </x:c>
      <x:c r="K1482" s="19" t="n">
        <x:f>E1482*G1482</x:f>
        <x:v>60</x:v>
      </x:c>
      <x:c r="L1482" s="19" t="n">
        <x:f>K1482*I1482</x:f>
        <x:v>12</x:v>
      </x:c>
      <x:c r="M1482" s="19" t="n">
        <x:f>(E1482-F1482)*G1482*(1-I1482)</x:f>
        <x:v>48</x:v>
      </x:c>
      <x:c r="N1482" s="19" t="n">
        <x:f>(E1482-F1482)*H1482</x:f>
        <x:v>24</x:v>
      </x:c>
      <x:c r="O1482" s="19" t="n">
        <x:f>F1482*J1482</x:f>
        <x:v>0</x:v>
      </x:c>
      <x:c r="P1482" s="19" t="n">
        <x:f>M1482-N1482-O1482</x:f>
        <x:v>24</x:v>
      </x:c>
    </x:row>
    <x:row r="1483">
      <x:c r="A1483" s="15" t="str">
        <x:v>SIM-1479</x:v>
      </x:c>
      <x:c r="B1483" s="15" t="str">
        <x:v>2026-06</x:v>
      </x:c>
      <x:c r="C1483" s="15" t="str">
        <x:v>Prendas</x:v>
      </x:c>
      <x:c r="D1483" s="15" t="str">
        <x:v>Tienda</x:v>
      </x:c>
      <x:c r="E1483" s="15" t="n">
        <x:v>1</x:v>
      </x:c>
      <x:c r="F1483" s="15" t="n">
        <x:v>0</x:v>
      </x:c>
      <x:c r="G1483" s="19" t="n">
        <x:v>60</x:v>
      </x:c>
      <x:c r="H1483" s="19" t="n">
        <x:v>24</x:v>
      </x:c>
      <x:c r="I1483" s="17" t="n">
        <x:v>0.3</x:v>
      </x:c>
      <x:c r="J1483" s="19" t="n">
        <x:v>2</x:v>
      </x:c>
      <x:c r="K1483" s="19" t="n">
        <x:f>E1483*G1483</x:f>
        <x:v>60</x:v>
      </x:c>
      <x:c r="L1483" s="19" t="n">
        <x:f>K1483*I1483</x:f>
        <x:v>18</x:v>
      </x:c>
      <x:c r="M1483" s="19" t="n">
        <x:f>(E1483-F1483)*G1483*(1-I1483)</x:f>
        <x:v>42</x:v>
      </x:c>
      <x:c r="N1483" s="19" t="n">
        <x:f>(E1483-F1483)*H1483</x:f>
        <x:v>24</x:v>
      </x:c>
      <x:c r="O1483" s="19" t="n">
        <x:f>F1483*J1483</x:f>
        <x:v>0</x:v>
      </x:c>
      <x:c r="P1483" s="19" t="n">
        <x:f>M1483-N1483-O1483</x:f>
        <x:v>18</x:v>
      </x:c>
    </x:row>
    <x:row r="1484">
      <x:c r="A1484" s="15" t="str">
        <x:v>SIM-1480</x:v>
      </x:c>
      <x:c r="B1484" s="15" t="str">
        <x:v>2026-06</x:v>
      </x:c>
      <x:c r="C1484" s="15" t="str">
        <x:v>Prendas</x:v>
      </x:c>
      <x:c r="D1484" s="15" t="str">
        <x:v>Tienda</x:v>
      </x:c>
      <x:c r="E1484" s="15" t="n">
        <x:v>1</x:v>
      </x:c>
      <x:c r="F1484" s="15" t="n">
        <x:v>0</x:v>
      </x:c>
      <x:c r="G1484" s="19" t="n">
        <x:v>60</x:v>
      </x:c>
      <x:c r="H1484" s="19" t="n">
        <x:v>24</x:v>
      </x:c>
      <x:c r="I1484" s="17" t="n">
        <x:v>0.2</x:v>
      </x:c>
      <x:c r="J1484" s="19" t="n">
        <x:v>2</x:v>
      </x:c>
      <x:c r="K1484" s="19" t="n">
        <x:f>E1484*G1484</x:f>
        <x:v>60</x:v>
      </x:c>
      <x:c r="L1484" s="19" t="n">
        <x:f>K1484*I1484</x:f>
        <x:v>12</x:v>
      </x:c>
      <x:c r="M1484" s="19" t="n">
        <x:f>(E1484-F1484)*G1484*(1-I1484)</x:f>
        <x:v>48</x:v>
      </x:c>
      <x:c r="N1484" s="19" t="n">
        <x:f>(E1484-F1484)*H1484</x:f>
        <x:v>24</x:v>
      </x:c>
      <x:c r="O1484" s="19" t="n">
        <x:f>F1484*J1484</x:f>
        <x:v>0</x:v>
      </x:c>
      <x:c r="P1484" s="19" t="n">
        <x:f>M1484-N1484-O1484</x:f>
        <x:v>24</x:v>
      </x:c>
    </x:row>
    <x:row r="1485">
      <x:c r="A1485" s="15" t="str">
        <x:v>SIM-1481</x:v>
      </x:c>
      <x:c r="B1485" s="15" t="str">
        <x:v>2026-06</x:v>
      </x:c>
      <x:c r="C1485" s="15" t="str">
        <x:v>Prendas</x:v>
      </x:c>
      <x:c r="D1485" s="15" t="str">
        <x:v>Online</x:v>
      </x:c>
      <x:c r="E1485" s="15" t="n">
        <x:v>1</x:v>
      </x:c>
      <x:c r="F1485" s="15" t="n">
        <x:v>0</x:v>
      </x:c>
      <x:c r="G1485" s="19" t="n">
        <x:v>60</x:v>
      </x:c>
      <x:c r="H1485" s="19" t="n">
        <x:v>24</x:v>
      </x:c>
      <x:c r="I1485" s="17" t="n">
        <x:v>0.1</x:v>
      </x:c>
      <x:c r="J1485" s="19" t="n">
        <x:v>6</x:v>
      </x:c>
      <x:c r="K1485" s="19" t="n">
        <x:f>E1485*G1485</x:f>
        <x:v>60</x:v>
      </x:c>
      <x:c r="L1485" s="19" t="n">
        <x:f>K1485*I1485</x:f>
        <x:v>6</x:v>
      </x:c>
      <x:c r="M1485" s="19" t="n">
        <x:f>(E1485-F1485)*G1485*(1-I1485)</x:f>
        <x:v>54</x:v>
      </x:c>
      <x:c r="N1485" s="19" t="n">
        <x:f>(E1485-F1485)*H1485</x:f>
        <x:v>24</x:v>
      </x:c>
      <x:c r="O1485" s="19" t="n">
        <x:f>F1485*J1485</x:f>
        <x:v>0</x:v>
      </x:c>
      <x:c r="P1485" s="19" t="n">
        <x:f>M1485-N1485-O1485</x:f>
        <x:v>30</x:v>
      </x:c>
    </x:row>
    <x:row r="1486">
      <x:c r="A1486" s="15" t="str">
        <x:v>SIM-1482</x:v>
      </x:c>
      <x:c r="B1486" s="15" t="str">
        <x:v>2026-06</x:v>
      </x:c>
      <x:c r="C1486" s="15" t="str">
        <x:v>Prendas</x:v>
      </x:c>
      <x:c r="D1486" s="15" t="str">
        <x:v>Online</x:v>
      </x:c>
      <x:c r="E1486" s="15" t="n">
        <x:v>1</x:v>
      </x:c>
      <x:c r="F1486" s="15" t="n">
        <x:v>0</x:v>
      </x:c>
      <x:c r="G1486" s="19" t="n">
        <x:v>60</x:v>
      </x:c>
      <x:c r="H1486" s="19" t="n">
        <x:v>24</x:v>
      </x:c>
      <x:c r="I1486" s="17" t="n">
        <x:v>0</x:v>
      </x:c>
      <x:c r="J1486" s="19" t="n">
        <x:v>6</x:v>
      </x:c>
      <x:c r="K1486" s="19" t="n">
        <x:f>E1486*G1486</x:f>
        <x:v>60</x:v>
      </x:c>
      <x:c r="L1486" s="19" t="n">
        <x:f>K1486*I1486</x:f>
        <x:v>0</x:v>
      </x:c>
      <x:c r="M1486" s="19" t="n">
        <x:f>(E1486-F1486)*G1486*(1-I1486)</x:f>
        <x:v>60</x:v>
      </x:c>
      <x:c r="N1486" s="19" t="n">
        <x:f>(E1486-F1486)*H1486</x:f>
        <x:v>24</x:v>
      </x:c>
      <x:c r="O1486" s="19" t="n">
        <x:f>F1486*J1486</x:f>
        <x:v>0</x:v>
      </x:c>
      <x:c r="P1486" s="19" t="n">
        <x:f>M1486-N1486-O1486</x:f>
        <x:v>36</x:v>
      </x:c>
    </x:row>
    <x:row r="1487">
      <x:c r="A1487" s="15" t="str">
        <x:v>SIM-1483</x:v>
      </x:c>
      <x:c r="B1487" s="15" t="str">
        <x:v>2026-06</x:v>
      </x:c>
      <x:c r="C1487" s="15" t="str">
        <x:v>Prendas</x:v>
      </x:c>
      <x:c r="D1487" s="15" t="str">
        <x:v>Online</x:v>
      </x:c>
      <x:c r="E1487" s="15" t="n">
        <x:v>1</x:v>
      </x:c>
      <x:c r="F1487" s="15" t="n">
        <x:v>0</x:v>
      </x:c>
      <x:c r="G1487" s="19" t="n">
        <x:v>60</x:v>
      </x:c>
      <x:c r="H1487" s="19" t="n">
        <x:v>24</x:v>
      </x:c>
      <x:c r="I1487" s="17" t="n">
        <x:v>0</x:v>
      </x:c>
      <x:c r="J1487" s="19" t="n">
        <x:v>6</x:v>
      </x:c>
      <x:c r="K1487" s="19" t="n">
        <x:f>E1487*G1487</x:f>
        <x:v>60</x:v>
      </x:c>
      <x:c r="L1487" s="19" t="n">
        <x:f>K1487*I1487</x:f>
        <x:v>0</x:v>
      </x:c>
      <x:c r="M1487" s="19" t="n">
        <x:f>(E1487-F1487)*G1487*(1-I1487)</x:f>
        <x:v>60</x:v>
      </x:c>
      <x:c r="N1487" s="19" t="n">
        <x:f>(E1487-F1487)*H1487</x:f>
        <x:v>24</x:v>
      </x:c>
      <x:c r="O1487" s="19" t="n">
        <x:f>F1487*J1487</x:f>
        <x:v>0</x:v>
      </x:c>
      <x:c r="P1487" s="19" t="n">
        <x:f>M1487-N1487-O1487</x:f>
        <x:v>36</x:v>
      </x:c>
    </x:row>
    <x:row r="1488">
      <x:c r="A1488" s="15" t="str">
        <x:v>SIM-1484</x:v>
      </x:c>
      <x:c r="B1488" s="15" t="str">
        <x:v>2026-06</x:v>
      </x:c>
      <x:c r="C1488" s="15" t="str">
        <x:v>Calzado</x:v>
      </x:c>
      <x:c r="D1488" s="15" t="str">
        <x:v>Online</x:v>
      </x:c>
      <x:c r="E1488" s="15" t="n">
        <x:v>3</x:v>
      </x:c>
      <x:c r="F1488" s="15" t="n">
        <x:v>0</x:v>
      </x:c>
      <x:c r="G1488" s="19" t="n">
        <x:v>90</x:v>
      </x:c>
      <x:c r="H1488" s="19" t="n">
        <x:v>42</x:v>
      </x:c>
      <x:c r="I1488" s="17" t="n">
        <x:v>0.3</x:v>
      </x:c>
      <x:c r="J1488" s="19" t="n">
        <x:v>6</x:v>
      </x:c>
      <x:c r="K1488" s="19" t="n">
        <x:f>E1488*G1488</x:f>
        <x:v>270</x:v>
      </x:c>
      <x:c r="L1488" s="19" t="n">
        <x:f>K1488*I1488</x:f>
        <x:v>81</x:v>
      </x:c>
      <x:c r="M1488" s="19" t="n">
        <x:f>(E1488-F1488)*G1488*(1-I1488)</x:f>
        <x:v>189</x:v>
      </x:c>
      <x:c r="N1488" s="19" t="n">
        <x:f>(E1488-F1488)*H1488</x:f>
        <x:v>126</x:v>
      </x:c>
      <x:c r="O1488" s="19" t="n">
        <x:f>F1488*J1488</x:f>
        <x:v>0</x:v>
      </x:c>
      <x:c r="P1488" s="19" t="n">
        <x:f>M1488-N1488-O1488</x:f>
        <x:v>63</x:v>
      </x:c>
    </x:row>
    <x:row r="1489">
      <x:c r="A1489" s="15" t="str">
        <x:v>SIM-1485</x:v>
      </x:c>
      <x:c r="B1489" s="15" t="str">
        <x:v>2026-06</x:v>
      </x:c>
      <x:c r="C1489" s="15" t="str">
        <x:v>Prendas</x:v>
      </x:c>
      <x:c r="D1489" s="15" t="str">
        <x:v>Tienda</x:v>
      </x:c>
      <x:c r="E1489" s="15" t="n">
        <x:v>1</x:v>
      </x:c>
      <x:c r="F1489" s="15" t="n">
        <x:v>0</x:v>
      </x:c>
      <x:c r="G1489" s="19" t="n">
        <x:v>60</x:v>
      </x:c>
      <x:c r="H1489" s="19" t="n">
        <x:v>24</x:v>
      </x:c>
      <x:c r="I1489" s="17" t="n">
        <x:v>0.2</x:v>
      </x:c>
      <x:c r="J1489" s="19" t="n">
        <x:v>2</x:v>
      </x:c>
      <x:c r="K1489" s="19" t="n">
        <x:f>E1489*G1489</x:f>
        <x:v>60</x:v>
      </x:c>
      <x:c r="L1489" s="19" t="n">
        <x:f>K1489*I1489</x:f>
        <x:v>12</x:v>
      </x:c>
      <x:c r="M1489" s="19" t="n">
        <x:f>(E1489-F1489)*G1489*(1-I1489)</x:f>
        <x:v>48</x:v>
      </x:c>
      <x:c r="N1489" s="19" t="n">
        <x:f>(E1489-F1489)*H1489</x:f>
        <x:v>24</x:v>
      </x:c>
      <x:c r="O1489" s="19" t="n">
        <x:f>F1489*J1489</x:f>
        <x:v>0</x:v>
      </x:c>
      <x:c r="P1489" s="19" t="n">
        <x:f>M1489-N1489-O1489</x:f>
        <x:v>24</x:v>
      </x:c>
    </x:row>
    <x:row r="1490">
      <x:c r="A1490" s="15" t="str">
        <x:v>SIM-1486</x:v>
      </x:c>
      <x:c r="B1490" s="15" t="str">
        <x:v>2026-06</x:v>
      </x:c>
      <x:c r="C1490" s="15" t="str">
        <x:v>Accesorios</x:v>
      </x:c>
      <x:c r="D1490" s="15" t="str">
        <x:v>Online</x:v>
      </x:c>
      <x:c r="E1490" s="15" t="n">
        <x:v>1</x:v>
      </x:c>
      <x:c r="F1490" s="15" t="n">
        <x:v>0</x:v>
      </x:c>
      <x:c r="G1490" s="19" t="n">
        <x:v>30</x:v>
      </x:c>
      <x:c r="H1490" s="19" t="n">
        <x:v>9</x:v>
      </x:c>
      <x:c r="I1490" s="17" t="n">
        <x:v>0</x:v>
      </x:c>
      <x:c r="J1490" s="19" t="n">
        <x:v>6</x:v>
      </x:c>
      <x:c r="K1490" s="19" t="n">
        <x:f>E1490*G1490</x:f>
        <x:v>30</x:v>
      </x:c>
      <x:c r="L1490" s="19" t="n">
        <x:f>K1490*I1490</x:f>
        <x:v>0</x:v>
      </x:c>
      <x:c r="M1490" s="19" t="n">
        <x:f>(E1490-F1490)*G1490*(1-I1490)</x:f>
        <x:v>30</x:v>
      </x:c>
      <x:c r="N1490" s="19" t="n">
        <x:f>(E1490-F1490)*H1490</x:f>
        <x:v>9</x:v>
      </x:c>
      <x:c r="O1490" s="19" t="n">
        <x:f>F1490*J1490</x:f>
        <x:v>0</x:v>
      </x:c>
      <x:c r="P1490" s="19" t="n">
        <x:f>M1490-N1490-O1490</x:f>
        <x:v>21</x:v>
      </x:c>
    </x:row>
    <x:row r="1491">
      <x:c r="A1491" s="15" t="str">
        <x:v>SIM-1487</x:v>
      </x:c>
      <x:c r="B1491" s="15" t="str">
        <x:v>2026-06</x:v>
      </x:c>
      <x:c r="C1491" s="15" t="str">
        <x:v>Prendas</x:v>
      </x:c>
      <x:c r="D1491" s="15" t="str">
        <x:v>Tienda</x:v>
      </x:c>
      <x:c r="E1491" s="15" t="n">
        <x:v>1</x:v>
      </x:c>
      <x:c r="F1491" s="15" t="n">
        <x:v>0</x:v>
      </x:c>
      <x:c r="G1491" s="19" t="n">
        <x:v>60</x:v>
      </x:c>
      <x:c r="H1491" s="19" t="n">
        <x:v>24</x:v>
      </x:c>
      <x:c r="I1491" s="17" t="n">
        <x:v>0</x:v>
      </x:c>
      <x:c r="J1491" s="19" t="n">
        <x:v>2</x:v>
      </x:c>
      <x:c r="K1491" s="19" t="n">
        <x:f>E1491*G1491</x:f>
        <x:v>60</x:v>
      </x:c>
      <x:c r="L1491" s="19" t="n">
        <x:f>K1491*I1491</x:f>
        <x:v>0</x:v>
      </x:c>
      <x:c r="M1491" s="19" t="n">
        <x:f>(E1491-F1491)*G1491*(1-I1491)</x:f>
        <x:v>60</x:v>
      </x:c>
      <x:c r="N1491" s="19" t="n">
        <x:f>(E1491-F1491)*H1491</x:f>
        <x:v>24</x:v>
      </x:c>
      <x:c r="O1491" s="19" t="n">
        <x:f>F1491*J1491</x:f>
        <x:v>0</x:v>
      </x:c>
      <x:c r="P1491" s="19" t="n">
        <x:f>M1491-N1491-O1491</x:f>
        <x:v>36</x:v>
      </x:c>
    </x:row>
    <x:row r="1492">
      <x:c r="A1492" s="15" t="str">
        <x:v>SIM-1488</x:v>
      </x:c>
      <x:c r="B1492" s="15" t="str">
        <x:v>2026-06</x:v>
      </x:c>
      <x:c r="C1492" s="15" t="str">
        <x:v>Prendas</x:v>
      </x:c>
      <x:c r="D1492" s="15" t="str">
        <x:v>Tienda</x:v>
      </x:c>
      <x:c r="E1492" s="15" t="n">
        <x:v>1</x:v>
      </x:c>
      <x:c r="F1492" s="15" t="n">
        <x:v>0</x:v>
      </x:c>
      <x:c r="G1492" s="19" t="n">
        <x:v>60</x:v>
      </x:c>
      <x:c r="H1492" s="19" t="n">
        <x:v>24</x:v>
      </x:c>
      <x:c r="I1492" s="17" t="n">
        <x:v>0</x:v>
      </x:c>
      <x:c r="J1492" s="19" t="n">
        <x:v>2</x:v>
      </x:c>
      <x:c r="K1492" s="19" t="n">
        <x:f>E1492*G1492</x:f>
        <x:v>60</x:v>
      </x:c>
      <x:c r="L1492" s="19" t="n">
        <x:f>K1492*I1492</x:f>
        <x:v>0</x:v>
      </x:c>
      <x:c r="M1492" s="19" t="n">
        <x:f>(E1492-F1492)*G1492*(1-I1492)</x:f>
        <x:v>60</x:v>
      </x:c>
      <x:c r="N1492" s="19" t="n">
        <x:f>(E1492-F1492)*H1492</x:f>
        <x:v>24</x:v>
      </x:c>
      <x:c r="O1492" s="19" t="n">
        <x:f>F1492*J1492</x:f>
        <x:v>0</x:v>
      </x:c>
      <x:c r="P1492" s="19" t="n">
        <x:f>M1492-N1492-O1492</x:f>
        <x:v>36</x:v>
      </x:c>
    </x:row>
    <x:row r="1493">
      <x:c r="A1493" s="15" t="str">
        <x:v>SIM-1489</x:v>
      </x:c>
      <x:c r="B1493" s="15" t="str">
        <x:v>2026-06</x:v>
      </x:c>
      <x:c r="C1493" s="15" t="str">
        <x:v>Prendas</x:v>
      </x:c>
      <x:c r="D1493" s="15" t="str">
        <x:v>Online</x:v>
      </x:c>
      <x:c r="E1493" s="15" t="n">
        <x:v>1</x:v>
      </x:c>
      <x:c r="F1493" s="15" t="n">
        <x:v>0</x:v>
      </x:c>
      <x:c r="G1493" s="19" t="n">
        <x:v>60</x:v>
      </x:c>
      <x:c r="H1493" s="19" t="n">
        <x:v>24</x:v>
      </x:c>
      <x:c r="I1493" s="17" t="n">
        <x:v>0.1</x:v>
      </x:c>
      <x:c r="J1493" s="19" t="n">
        <x:v>6</x:v>
      </x:c>
      <x:c r="K1493" s="19" t="n">
        <x:f>E1493*G1493</x:f>
        <x:v>60</x:v>
      </x:c>
      <x:c r="L1493" s="19" t="n">
        <x:f>K1493*I1493</x:f>
        <x:v>6</x:v>
      </x:c>
      <x:c r="M1493" s="19" t="n">
        <x:f>(E1493-F1493)*G1493*(1-I1493)</x:f>
        <x:v>54</x:v>
      </x:c>
      <x:c r="N1493" s="19" t="n">
        <x:f>(E1493-F1493)*H1493</x:f>
        <x:v>24</x:v>
      </x:c>
      <x:c r="O1493" s="19" t="n">
        <x:f>F1493*J1493</x:f>
        <x:v>0</x:v>
      </x:c>
      <x:c r="P1493" s="19" t="n">
        <x:f>M1493-N1493-O1493</x:f>
        <x:v>30</x:v>
      </x:c>
    </x:row>
    <x:row r="1494">
      <x:c r="A1494" s="15" t="str">
        <x:v>SIM-1490</x:v>
      </x:c>
      <x:c r="B1494" s="15" t="str">
        <x:v>2026-06</x:v>
      </x:c>
      <x:c r="C1494" s="15" t="str">
        <x:v>Accesorios</x:v>
      </x:c>
      <x:c r="D1494" s="15" t="str">
        <x:v>Online</x:v>
      </x:c>
      <x:c r="E1494" s="15" t="n">
        <x:v>2</x:v>
      </x:c>
      <x:c r="F1494" s="15" t="n">
        <x:v>0</x:v>
      </x:c>
      <x:c r="G1494" s="19" t="n">
        <x:v>30</x:v>
      </x:c>
      <x:c r="H1494" s="19" t="n">
        <x:v>9</x:v>
      </x:c>
      <x:c r="I1494" s="17" t="n">
        <x:v>0</x:v>
      </x:c>
      <x:c r="J1494" s="19" t="n">
        <x:v>6</x:v>
      </x:c>
      <x:c r="K1494" s="19" t="n">
        <x:f>E1494*G1494</x:f>
        <x:v>60</x:v>
      </x:c>
      <x:c r="L1494" s="19" t="n">
        <x:f>K1494*I1494</x:f>
        <x:v>0</x:v>
      </x:c>
      <x:c r="M1494" s="19" t="n">
        <x:f>(E1494-F1494)*G1494*(1-I1494)</x:f>
        <x:v>60</x:v>
      </x:c>
      <x:c r="N1494" s="19" t="n">
        <x:f>(E1494-F1494)*H1494</x:f>
        <x:v>18</x:v>
      </x:c>
      <x:c r="O1494" s="19" t="n">
        <x:f>F1494*J1494</x:f>
        <x:v>0</x:v>
      </x:c>
      <x:c r="P1494" s="19" t="n">
        <x:f>M1494-N1494-O1494</x:f>
        <x:v>42</x:v>
      </x:c>
    </x:row>
    <x:row r="1495">
      <x:c r="A1495" s="15" t="str">
        <x:v>SIM-1491</x:v>
      </x:c>
      <x:c r="B1495" s="15" t="str">
        <x:v>2026-06</x:v>
      </x:c>
      <x:c r="C1495" s="15" t="str">
        <x:v>Prendas</x:v>
      </x:c>
      <x:c r="D1495" s="15" t="str">
        <x:v>Tienda</x:v>
      </x:c>
      <x:c r="E1495" s="15" t="n">
        <x:v>2</x:v>
      </x:c>
      <x:c r="F1495" s="15" t="n">
        <x:v>0</x:v>
      </x:c>
      <x:c r="G1495" s="19" t="n">
        <x:v>60</x:v>
      </x:c>
      <x:c r="H1495" s="19" t="n">
        <x:v>24</x:v>
      </x:c>
      <x:c r="I1495" s="17" t="n">
        <x:v>0.1</x:v>
      </x:c>
      <x:c r="J1495" s="19" t="n">
        <x:v>2</x:v>
      </x:c>
      <x:c r="K1495" s="19" t="n">
        <x:f>E1495*G1495</x:f>
        <x:v>120</x:v>
      </x:c>
      <x:c r="L1495" s="19" t="n">
        <x:f>K1495*I1495</x:f>
        <x:v>12</x:v>
      </x:c>
      <x:c r="M1495" s="19" t="n">
        <x:f>(E1495-F1495)*G1495*(1-I1495)</x:f>
        <x:v>108</x:v>
      </x:c>
      <x:c r="N1495" s="19" t="n">
        <x:f>(E1495-F1495)*H1495</x:f>
        <x:v>48</x:v>
      </x:c>
      <x:c r="O1495" s="19" t="n">
        <x:f>F1495*J1495</x:f>
        <x:v>0</x:v>
      </x:c>
      <x:c r="P1495" s="19" t="n">
        <x:f>M1495-N1495-O1495</x:f>
        <x:v>60</x:v>
      </x:c>
    </x:row>
    <x:row r="1496">
      <x:c r="A1496" s="15" t="str">
        <x:v>SIM-1492</x:v>
      </x:c>
      <x:c r="B1496" s="15" t="str">
        <x:v>2026-06</x:v>
      </x:c>
      <x:c r="C1496" s="15" t="str">
        <x:v>Prendas</x:v>
      </x:c>
      <x:c r="D1496" s="15" t="str">
        <x:v>Tienda</x:v>
      </x:c>
      <x:c r="E1496" s="15" t="n">
        <x:v>1</x:v>
      </x:c>
      <x:c r="F1496" s="15" t="n">
        <x:v>0</x:v>
      </x:c>
      <x:c r="G1496" s="19" t="n">
        <x:v>60</x:v>
      </x:c>
      <x:c r="H1496" s="19" t="n">
        <x:v>24</x:v>
      </x:c>
      <x:c r="I1496" s="17" t="n">
        <x:v>0.3</x:v>
      </x:c>
      <x:c r="J1496" s="19" t="n">
        <x:v>2</x:v>
      </x:c>
      <x:c r="K1496" s="19" t="n">
        <x:f>E1496*G1496</x:f>
        <x:v>60</x:v>
      </x:c>
      <x:c r="L1496" s="19" t="n">
        <x:f>K1496*I1496</x:f>
        <x:v>18</x:v>
      </x:c>
      <x:c r="M1496" s="19" t="n">
        <x:f>(E1496-F1496)*G1496*(1-I1496)</x:f>
        <x:v>42</x:v>
      </x:c>
      <x:c r="N1496" s="19" t="n">
        <x:f>(E1496-F1496)*H1496</x:f>
        <x:v>24</x:v>
      </x:c>
      <x:c r="O1496" s="19" t="n">
        <x:f>F1496*J1496</x:f>
        <x:v>0</x:v>
      </x:c>
      <x:c r="P1496" s="19" t="n">
        <x:f>M1496-N1496-O1496</x:f>
        <x:v>18</x:v>
      </x:c>
    </x:row>
    <x:row r="1497">
      <x:c r="A1497" s="15" t="str">
        <x:v>SIM-1493</x:v>
      </x:c>
      <x:c r="B1497" s="15" t="str">
        <x:v>2026-06</x:v>
      </x:c>
      <x:c r="C1497" s="15" t="str">
        <x:v>Prendas</x:v>
      </x:c>
      <x:c r="D1497" s="15" t="str">
        <x:v>Tienda</x:v>
      </x:c>
      <x:c r="E1497" s="15" t="n">
        <x:v>1</x:v>
      </x:c>
      <x:c r="F1497" s="15" t="n">
        <x:v>0</x:v>
      </x:c>
      <x:c r="G1497" s="19" t="n">
        <x:v>60</x:v>
      </x:c>
      <x:c r="H1497" s="19" t="n">
        <x:v>24</x:v>
      </x:c>
      <x:c r="I1497" s="17" t="n">
        <x:v>0</x:v>
      </x:c>
      <x:c r="J1497" s="19" t="n">
        <x:v>2</x:v>
      </x:c>
      <x:c r="K1497" s="19" t="n">
        <x:f>E1497*G1497</x:f>
        <x:v>60</x:v>
      </x:c>
      <x:c r="L1497" s="19" t="n">
        <x:f>K1497*I1497</x:f>
        <x:v>0</x:v>
      </x:c>
      <x:c r="M1497" s="19" t="n">
        <x:f>(E1497-F1497)*G1497*(1-I1497)</x:f>
        <x:v>60</x:v>
      </x:c>
      <x:c r="N1497" s="19" t="n">
        <x:f>(E1497-F1497)*H1497</x:f>
        <x:v>24</x:v>
      </x:c>
      <x:c r="O1497" s="19" t="n">
        <x:f>F1497*J1497</x:f>
        <x:v>0</x:v>
      </x:c>
      <x:c r="P1497" s="19" t="n">
        <x:f>M1497-N1497-O1497</x:f>
        <x:v>36</x:v>
      </x:c>
    </x:row>
    <x:row r="1498">
      <x:c r="A1498" s="15" t="str">
        <x:v>SIM-1494</x:v>
      </x:c>
      <x:c r="B1498" s="15" t="str">
        <x:v>2026-06</x:v>
      </x:c>
      <x:c r="C1498" s="15" t="str">
        <x:v>Prendas</x:v>
      </x:c>
      <x:c r="D1498" s="15" t="str">
        <x:v>Online</x:v>
      </x:c>
      <x:c r="E1498" s="15" t="n">
        <x:v>2</x:v>
      </x:c>
      <x:c r="F1498" s="15" t="n">
        <x:v>0</x:v>
      </x:c>
      <x:c r="G1498" s="19" t="n">
        <x:v>60</x:v>
      </x:c>
      <x:c r="H1498" s="19" t="n">
        <x:v>24</x:v>
      </x:c>
      <x:c r="I1498" s="17" t="n">
        <x:v>0</x:v>
      </x:c>
      <x:c r="J1498" s="19" t="n">
        <x:v>6</x:v>
      </x:c>
      <x:c r="K1498" s="19" t="n">
        <x:f>E1498*G1498</x:f>
        <x:v>120</x:v>
      </x:c>
      <x:c r="L1498" s="19" t="n">
        <x:f>K1498*I1498</x:f>
        <x:v>0</x:v>
      </x:c>
      <x:c r="M1498" s="19" t="n">
        <x:f>(E1498-F1498)*G1498*(1-I1498)</x:f>
        <x:v>120</x:v>
      </x:c>
      <x:c r="N1498" s="19" t="n">
        <x:f>(E1498-F1498)*H1498</x:f>
        <x:v>48</x:v>
      </x:c>
      <x:c r="O1498" s="19" t="n">
        <x:f>F1498*J1498</x:f>
        <x:v>0</x:v>
      </x:c>
      <x:c r="P1498" s="19" t="n">
        <x:f>M1498-N1498-O1498</x:f>
        <x:v>72</x:v>
      </x:c>
    </x:row>
    <x:row r="1499">
      <x:c r="A1499" s="15" t="str">
        <x:v>SIM-1495</x:v>
      </x:c>
      <x:c r="B1499" s="15" t="str">
        <x:v>2026-06</x:v>
      </x:c>
      <x:c r="C1499" s="15" t="str">
        <x:v>Accesorios</x:v>
      </x:c>
      <x:c r="D1499" s="15" t="str">
        <x:v>Online</x:v>
      </x:c>
      <x:c r="E1499" s="15" t="n">
        <x:v>1</x:v>
      </x:c>
      <x:c r="F1499" s="15" t="n">
        <x:v>0</x:v>
      </x:c>
      <x:c r="G1499" s="19" t="n">
        <x:v>30</x:v>
      </x:c>
      <x:c r="H1499" s="19" t="n">
        <x:v>9</x:v>
      </x:c>
      <x:c r="I1499" s="17" t="n">
        <x:v>0</x:v>
      </x:c>
      <x:c r="J1499" s="19" t="n">
        <x:v>6</x:v>
      </x:c>
      <x:c r="K1499" s="19" t="n">
        <x:f>E1499*G1499</x:f>
        <x:v>30</x:v>
      </x:c>
      <x:c r="L1499" s="19" t="n">
        <x:f>K1499*I1499</x:f>
        <x:v>0</x:v>
      </x:c>
      <x:c r="M1499" s="19" t="n">
        <x:f>(E1499-F1499)*G1499*(1-I1499)</x:f>
        <x:v>30</x:v>
      </x:c>
      <x:c r="N1499" s="19" t="n">
        <x:f>(E1499-F1499)*H1499</x:f>
        <x:v>9</x:v>
      </x:c>
      <x:c r="O1499" s="19" t="n">
        <x:f>F1499*J1499</x:f>
        <x:v>0</x:v>
      </x:c>
      <x:c r="P1499" s="19" t="n">
        <x:f>M1499-N1499-O1499</x:f>
        <x:v>21</x:v>
      </x:c>
    </x:row>
    <x:row r="1500">
      <x:c r="A1500" s="15" t="str">
        <x:v>SIM-1496</x:v>
      </x:c>
      <x:c r="B1500" s="15" t="str">
        <x:v>2026-06</x:v>
      </x:c>
      <x:c r="C1500" s="15" t="str">
        <x:v>Prendas</x:v>
      </x:c>
      <x:c r="D1500" s="15" t="str">
        <x:v>Online</x:v>
      </x:c>
      <x:c r="E1500" s="15" t="n">
        <x:v>1</x:v>
      </x:c>
      <x:c r="F1500" s="15" t="n">
        <x:v>0</x:v>
      </x:c>
      <x:c r="G1500" s="19" t="n">
        <x:v>60</x:v>
      </x:c>
      <x:c r="H1500" s="19" t="n">
        <x:v>24</x:v>
      </x:c>
      <x:c r="I1500" s="17" t="n">
        <x:v>0</x:v>
      </x:c>
      <x:c r="J1500" s="19" t="n">
        <x:v>6</x:v>
      </x:c>
      <x:c r="K1500" s="19" t="n">
        <x:f>E1500*G1500</x:f>
        <x:v>60</x:v>
      </x:c>
      <x:c r="L1500" s="19" t="n">
        <x:f>K1500*I1500</x:f>
        <x:v>0</x:v>
      </x:c>
      <x:c r="M1500" s="19" t="n">
        <x:f>(E1500-F1500)*G1500*(1-I1500)</x:f>
        <x:v>60</x:v>
      </x:c>
      <x:c r="N1500" s="19" t="n">
        <x:f>(E1500-F1500)*H1500</x:f>
        <x:v>24</x:v>
      </x:c>
      <x:c r="O1500" s="19" t="n">
        <x:f>F1500*J1500</x:f>
        <x:v>0</x:v>
      </x:c>
      <x:c r="P1500" s="19" t="n">
        <x:f>M1500-N1500-O1500</x:f>
        <x:v>36</x:v>
      </x:c>
    </x:row>
    <x:row r="1501">
      <x:c r="A1501" s="15" t="str">
        <x:v>SIM-1497</x:v>
      </x:c>
      <x:c r="B1501" s="15" t="str">
        <x:v>2026-06</x:v>
      </x:c>
      <x:c r="C1501" s="15" t="str">
        <x:v>Accesorios</x:v>
      </x:c>
      <x:c r="D1501" s="15" t="str">
        <x:v>Online</x:v>
      </x:c>
      <x:c r="E1501" s="15" t="n">
        <x:v>3</x:v>
      </x:c>
      <x:c r="F1501" s="15" t="n">
        <x:v>0</x:v>
      </x:c>
      <x:c r="G1501" s="19" t="n">
        <x:v>30</x:v>
      </x:c>
      <x:c r="H1501" s="19" t="n">
        <x:v>9</x:v>
      </x:c>
      <x:c r="I1501" s="17" t="n">
        <x:v>0.1</x:v>
      </x:c>
      <x:c r="J1501" s="19" t="n">
        <x:v>6</x:v>
      </x:c>
      <x:c r="K1501" s="19" t="n">
        <x:f>E1501*G1501</x:f>
        <x:v>90</x:v>
      </x:c>
      <x:c r="L1501" s="19" t="n">
        <x:f>K1501*I1501</x:f>
        <x:v>9</x:v>
      </x:c>
      <x:c r="M1501" s="19" t="n">
        <x:f>(E1501-F1501)*G1501*(1-I1501)</x:f>
        <x:v>81</x:v>
      </x:c>
      <x:c r="N1501" s="19" t="n">
        <x:f>(E1501-F1501)*H1501</x:f>
        <x:v>27</x:v>
      </x:c>
      <x:c r="O1501" s="19" t="n">
        <x:f>F1501*J1501</x:f>
        <x:v>0</x:v>
      </x:c>
      <x:c r="P1501" s="19" t="n">
        <x:f>M1501-N1501-O1501</x:f>
        <x:v>54</x:v>
      </x:c>
    </x:row>
    <x:row r="1502">
      <x:c r="A1502" s="15" t="str">
        <x:v>SIM-1498</x:v>
      </x:c>
      <x:c r="B1502" s="15" t="str">
        <x:v>2026-06</x:v>
      </x:c>
      <x:c r="C1502" s="15" t="str">
        <x:v>Prendas</x:v>
      </x:c>
      <x:c r="D1502" s="15" t="str">
        <x:v>Online</x:v>
      </x:c>
      <x:c r="E1502" s="15" t="n">
        <x:v>1</x:v>
      </x:c>
      <x:c r="F1502" s="15" t="n">
        <x:v>0</x:v>
      </x:c>
      <x:c r="G1502" s="19" t="n">
        <x:v>60</x:v>
      </x:c>
      <x:c r="H1502" s="19" t="n">
        <x:v>24</x:v>
      </x:c>
      <x:c r="I1502" s="17" t="n">
        <x:v>0</x:v>
      </x:c>
      <x:c r="J1502" s="19" t="n">
        <x:v>6</x:v>
      </x:c>
      <x:c r="K1502" s="19" t="n">
        <x:f>E1502*G1502</x:f>
        <x:v>60</x:v>
      </x:c>
      <x:c r="L1502" s="19" t="n">
        <x:f>K1502*I1502</x:f>
        <x:v>0</x:v>
      </x:c>
      <x:c r="M1502" s="19" t="n">
        <x:f>(E1502-F1502)*G1502*(1-I1502)</x:f>
        <x:v>60</x:v>
      </x:c>
      <x:c r="N1502" s="19" t="n">
        <x:f>(E1502-F1502)*H1502</x:f>
        <x:v>24</x:v>
      </x:c>
      <x:c r="O1502" s="19" t="n">
        <x:f>F1502*J1502</x:f>
        <x:v>0</x:v>
      </x:c>
      <x:c r="P1502" s="19" t="n">
        <x:f>M1502-N1502-O1502</x:f>
        <x:v>36</x:v>
      </x:c>
    </x:row>
    <x:row r="1503">
      <x:c r="A1503" s="15" t="str">
        <x:v>SIM-1499</x:v>
      </x:c>
      <x:c r="B1503" s="15" t="str">
        <x:v>2026-06</x:v>
      </x:c>
      <x:c r="C1503" s="15" t="str">
        <x:v>Accesorios</x:v>
      </x:c>
      <x:c r="D1503" s="15" t="str">
        <x:v>Tienda</x:v>
      </x:c>
      <x:c r="E1503" s="15" t="n">
        <x:v>2</x:v>
      </x:c>
      <x:c r="F1503" s="15" t="n">
        <x:v>0</x:v>
      </x:c>
      <x:c r="G1503" s="19" t="n">
        <x:v>30</x:v>
      </x:c>
      <x:c r="H1503" s="19" t="n">
        <x:v>9</x:v>
      </x:c>
      <x:c r="I1503" s="17" t="n">
        <x:v>0</x:v>
      </x:c>
      <x:c r="J1503" s="19" t="n">
        <x:v>2</x:v>
      </x:c>
      <x:c r="K1503" s="19" t="n">
        <x:f>E1503*G1503</x:f>
        <x:v>60</x:v>
      </x:c>
      <x:c r="L1503" s="19" t="n">
        <x:f>K1503*I1503</x:f>
        <x:v>0</x:v>
      </x:c>
      <x:c r="M1503" s="19" t="n">
        <x:f>(E1503-F1503)*G1503*(1-I1503)</x:f>
        <x:v>60</x:v>
      </x:c>
      <x:c r="N1503" s="19" t="n">
        <x:f>(E1503-F1503)*H1503</x:f>
        <x:v>18</x:v>
      </x:c>
      <x:c r="O1503" s="19" t="n">
        <x:f>F1503*J1503</x:f>
        <x:v>0</x:v>
      </x:c>
      <x:c r="P1503" s="19" t="n">
        <x:f>M1503-N1503-O1503</x:f>
        <x:v>42</x:v>
      </x:c>
    </x:row>
    <x:row r="1504">
      <x:c r="A1504" s="15" t="str">
        <x:v>SIM-1500</x:v>
      </x:c>
      <x:c r="B1504" s="15" t="str">
        <x:v>2026-06</x:v>
      </x:c>
      <x:c r="C1504" s="15" t="str">
        <x:v>Prendas</x:v>
      </x:c>
      <x:c r="D1504" s="15" t="str">
        <x:v>Online</x:v>
      </x:c>
      <x:c r="E1504" s="15" t="n">
        <x:v>1</x:v>
      </x:c>
      <x:c r="F1504" s="15" t="n">
        <x:v>0</x:v>
      </x:c>
      <x:c r="G1504" s="19" t="n">
        <x:v>60</x:v>
      </x:c>
      <x:c r="H1504" s="19" t="n">
        <x:v>24</x:v>
      </x:c>
      <x:c r="I1504" s="17" t="n">
        <x:v>0</x:v>
      </x:c>
      <x:c r="J1504" s="19" t="n">
        <x:v>6</x:v>
      </x:c>
      <x:c r="K1504" s="19" t="n">
        <x:f>E1504*G1504</x:f>
        <x:v>60</x:v>
      </x:c>
      <x:c r="L1504" s="19" t="n">
        <x:f>K1504*I1504</x:f>
        <x:v>0</x:v>
      </x:c>
      <x:c r="M1504" s="19" t="n">
        <x:f>(E1504-F1504)*G1504*(1-I1504)</x:f>
        <x:v>60</x:v>
      </x:c>
      <x:c r="N1504" s="19" t="n">
        <x:f>(E1504-F1504)*H1504</x:f>
        <x:v>24</x:v>
      </x:c>
      <x:c r="O1504" s="19" t="n">
        <x:f>F1504*J1504</x:f>
        <x:v>0</x:v>
      </x:c>
      <x:c r="P1504" s="19" t="n">
        <x:f>M1504-N1504-O1504</x:f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876a2420f9354fbe"/>
  </x:tableParts>
</x:worksheet>
</file>